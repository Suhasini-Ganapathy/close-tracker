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suhas\Documents\Z11.AIProjects\A1.Month-EndCloseManager\"/>
    </mc:Choice>
  </mc:AlternateContent>
  <xr:revisionPtr revIDLastSave="0" documentId="13_ncr:1_{D8E83733-96A1-4FD2-9EDC-E736FA2B9729}" xr6:coauthVersionLast="47" xr6:coauthVersionMax="47" xr10:uidLastSave="{00000000-0000-0000-0000-000000000000}"/>
  <bookViews>
    <workbookView xWindow="-120" yWindow="-120" windowWidth="29040" windowHeight="17520" xr2:uid="{00000000-000D-0000-FFFF-FFFF00000000}"/>
  </bookViews>
  <sheets>
    <sheet name="Suggested Accruals" sheetId="1" r:id="rId1"/>
    <sheet name="Variance Root Cause" sheetId="2" r:id="rId2"/>
    <sheet name="Missing Account Checks" sheetId="3" r:id="rId3"/>
    <sheet name="Narrative Consistency Check" sheetId="4" r:id="rId4"/>
    <sheet name="Headcount Exception Detection"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8" i="2" l="1"/>
  <c r="C18" i="2"/>
  <c r="E17" i="2"/>
  <c r="E16" i="2"/>
  <c r="E15" i="2"/>
  <c r="E14" i="2"/>
  <c r="E13" i="2"/>
  <c r="E12" i="2"/>
  <c r="F12" i="2" s="1"/>
  <c r="E11" i="2"/>
  <c r="E10" i="2"/>
  <c r="E9" i="2"/>
  <c r="E8" i="2"/>
  <c r="F8" i="2" s="1"/>
  <c r="D15" i="2"/>
  <c r="C15" i="2"/>
  <c r="F17" i="2"/>
  <c r="F4" i="2"/>
  <c r="I20" i="1"/>
  <c r="I19" i="1"/>
  <c r="I18" i="1"/>
  <c r="I17" i="1"/>
  <c r="I16" i="1"/>
  <c r="I15" i="1"/>
  <c r="I14" i="1"/>
  <c r="B23" i="1" s="1"/>
  <c r="I13" i="1"/>
  <c r="I12" i="1"/>
  <c r="I11" i="1"/>
  <c r="I10" i="1"/>
  <c r="I9" i="1"/>
  <c r="I8" i="1"/>
  <c r="I7" i="1"/>
  <c r="I6" i="1"/>
  <c r="I5" i="1"/>
  <c r="I4" i="1"/>
  <c r="E25" i="5"/>
  <c r="H24" i="5"/>
  <c r="E24" i="5"/>
  <c r="H23" i="5"/>
  <c r="E23" i="5"/>
  <c r="H22" i="5"/>
  <c r="E22" i="5"/>
  <c r="H21" i="5"/>
  <c r="E21" i="5"/>
  <c r="H20" i="5"/>
  <c r="E20" i="5"/>
  <c r="G18" i="5"/>
  <c r="H18" i="5" s="1"/>
  <c r="F18" i="5"/>
  <c r="E18" i="5"/>
  <c r="H17" i="5"/>
  <c r="I17" i="5" s="1"/>
  <c r="E17" i="5"/>
  <c r="H16" i="5"/>
  <c r="I16" i="5" s="1"/>
  <c r="E16" i="5"/>
  <c r="H15" i="5"/>
  <c r="I15" i="5" s="1"/>
  <c r="E15" i="5"/>
  <c r="H14" i="5"/>
  <c r="E14" i="5"/>
  <c r="H13" i="5"/>
  <c r="I13" i="5" s="1"/>
  <c r="E13" i="5"/>
  <c r="H12" i="5"/>
  <c r="I12" i="5" s="1"/>
  <c r="E12" i="5"/>
  <c r="G10" i="5"/>
  <c r="F10" i="5"/>
  <c r="H10" i="5" s="1"/>
  <c r="E10" i="5"/>
  <c r="H9" i="5"/>
  <c r="E9" i="5"/>
  <c r="H8" i="5"/>
  <c r="E8" i="5"/>
  <c r="H7" i="5"/>
  <c r="E7" i="5"/>
  <c r="H6" i="5"/>
  <c r="I6" i="5" s="1"/>
  <c r="E6" i="5"/>
  <c r="H5" i="5"/>
  <c r="E5" i="5"/>
  <c r="H4" i="5"/>
  <c r="I4" i="5" s="1"/>
  <c r="E4" i="5"/>
  <c r="F13" i="2"/>
  <c r="F11" i="2"/>
  <c r="F10" i="2"/>
  <c r="F9" i="2"/>
  <c r="D7" i="2"/>
  <c r="C7" i="2"/>
  <c r="E6" i="2"/>
  <c r="F6" i="2" s="1"/>
  <c r="E5" i="2"/>
  <c r="F5" i="2" s="1"/>
  <c r="E4" i="2"/>
  <c r="I18" i="5" l="1"/>
  <c r="I10" i="5"/>
  <c r="E18" i="2"/>
  <c r="E7" i="2"/>
  <c r="F7" i="2" s="1"/>
  <c r="F15" i="2"/>
  <c r="F14" i="2"/>
  <c r="F18" i="2"/>
  <c r="F16" i="2"/>
</calcChain>
</file>

<file path=xl/sharedStrings.xml><?xml version="1.0" encoding="utf-8"?>
<sst xmlns="http://schemas.openxmlformats.org/spreadsheetml/2006/main" count="550" uniqueCount="313">
  <si>
    <t>Account Code</t>
  </si>
  <si>
    <t>Account Name</t>
  </si>
  <si>
    <t>Cost Centre</t>
  </si>
  <si>
    <t>Owner Function</t>
  </si>
  <si>
    <t>P03 Actual (CHF)</t>
  </si>
  <si>
    <t>P04 Actual (CHF)</t>
  </si>
  <si>
    <t>3M Avg (CHF)</t>
  </si>
  <si>
    <t>P05 Submission (CHF)</t>
  </si>
  <si>
    <t>Variance vs Avg (CHF)</t>
  </si>
  <si>
    <t>AI Flag</t>
  </si>
  <si>
    <t>6100</t>
  </si>
  <si>
    <t>Personnel - Salaries</t>
  </si>
  <si>
    <t>CC-CH-01</t>
  </si>
  <si>
    <t>HR</t>
  </si>
  <si>
    <t>6110</t>
  </si>
  <si>
    <t>Personnel - Bonus Accrual</t>
  </si>
  <si>
    <t>6120</t>
  </si>
  <si>
    <t>Personnel - Social Charges</t>
  </si>
  <si>
    <t>6200</t>
  </si>
  <si>
    <t>Contractor &amp; Consulting Fees</t>
  </si>
  <si>
    <t>CC-CH-02</t>
  </si>
  <si>
    <t>Procurement</t>
  </si>
  <si>
    <t>6300</t>
  </si>
  <si>
    <t>Software Licence Renewals</t>
  </si>
  <si>
    <t>CC-CH-03</t>
  </si>
  <si>
    <t>IT</t>
  </si>
  <si>
    <t>6310</t>
  </si>
  <si>
    <t>Cloud Infrastructure</t>
  </si>
  <si>
    <t>6400</t>
  </si>
  <si>
    <t>Office Rent - Zurich HQ</t>
  </si>
  <si>
    <t>CC-CH-04</t>
  </si>
  <si>
    <t>Facilities</t>
  </si>
  <si>
    <t>6410</t>
  </si>
  <si>
    <t>Office Utilities</t>
  </si>
  <si>
    <t>6500</t>
  </si>
  <si>
    <t>Travel &amp; Entertainment</t>
  </si>
  <si>
    <t>CC-CH-05</t>
  </si>
  <si>
    <t>Sales</t>
  </si>
  <si>
    <t>4200</t>
  </si>
  <si>
    <t>6510</t>
  </si>
  <si>
    <t>Marketing &amp; Events</t>
  </si>
  <si>
    <t>6600</t>
  </si>
  <si>
    <t>Legal &amp; Professional Fees</t>
  </si>
  <si>
    <t>CC-CH-06</t>
  </si>
  <si>
    <t>Legal</t>
  </si>
  <si>
    <t>6700</t>
  </si>
  <si>
    <t>Depreciation - IT Equipment</t>
  </si>
  <si>
    <t>CC-CH-07</t>
  </si>
  <si>
    <t>Accounting</t>
  </si>
  <si>
    <t>6710</t>
  </si>
  <si>
    <t>Amortisation - Intangibles</t>
  </si>
  <si>
    <t>6800</t>
  </si>
  <si>
    <t>FX Revaluation</t>
  </si>
  <si>
    <t>CC-CH-08</t>
  </si>
  <si>
    <t>Treasury</t>
  </si>
  <si>
    <t>6900</t>
  </si>
  <si>
    <t>Bad Debt Provision</t>
  </si>
  <si>
    <t>CC-CH-09</t>
  </si>
  <si>
    <t>Credit</t>
  </si>
  <si>
    <t>6910</t>
  </si>
  <si>
    <t>Warranty Provision</t>
  </si>
  <si>
    <t>7000</t>
  </si>
  <si>
    <t>Intercompany Recharge - BU002</t>
  </si>
  <si>
    <t>CC-CH-10</t>
  </si>
  <si>
    <t>Controller</t>
  </si>
  <si>
    <t>SUMMARY</t>
  </si>
  <si>
    <t>Total Missing Accruals (count)</t>
  </si>
  <si>
    <t>Estimated Missing Amount (CHF)</t>
  </si>
  <si>
    <t>AI Recommendation</t>
  </si>
  <si>
    <t>Post accruals for Software Licences (CHF 28K), Legal Retainer (est. CHF 13.5K), and IC Recharge to BU002 (CHF 45K) before subledger lock. Review Travel &amp; Entertainment submission with cost centre owner.</t>
  </si>
  <si>
    <t>P&amp;L Line</t>
  </si>
  <si>
    <t>Category</t>
  </si>
  <si>
    <t>Budget (CHF)</t>
  </si>
  <si>
    <t>Actuals (CHF)</t>
  </si>
  <si>
    <t>Variance (CHF)</t>
  </si>
  <si>
    <t>Variance %</t>
  </si>
  <si>
    <t>Threshold Breach</t>
  </si>
  <si>
    <t>Driver Category</t>
  </si>
  <si>
    <t>Volume Driver</t>
  </si>
  <si>
    <t>FX Impact (CHF)</t>
  </si>
  <si>
    <t>AI Root Cause Note</t>
  </si>
  <si>
    <t>Revenue - Software Licences</t>
  </si>
  <si>
    <t>Revenue</t>
  </si>
  <si>
    <t>No</t>
  </si>
  <si>
    <t>Volume</t>
  </si>
  <si>
    <t>Licence renewals +3.2% vs plan</t>
  </si>
  <si>
    <t>New enterprise client onboarded Q2, 8 additional seats above forecast</t>
  </si>
  <si>
    <t>Revenue - Professional Services</t>
  </si>
  <si>
    <t>Utilisation rate -3.1%</t>
  </si>
  <si>
    <t>Two senior consultants on extended leave, billable hours below plan</t>
  </si>
  <si>
    <t>Revenue - Maintenance</t>
  </si>
  <si>
    <t>Contract renewals on track</t>
  </si>
  <si>
    <t>Maintenance revenue in line with contracted base, minor upside from index escalation</t>
  </si>
  <si>
    <t>Total Revenue</t>
  </si>
  <si>
    <t>Mixed</t>
  </si>
  <si>
    <t>Net revenue CHF 80K favourable, software licences offsetting professional services shortfall</t>
  </si>
  <si>
    <t>OPEX</t>
  </si>
  <si>
    <t>Headcount</t>
  </si>
  <si>
    <t>HC 168 vs plan 165</t>
  </si>
  <si>
    <t>3 unplanned hires in Q2 engineering, partially offset by 1 open role in finance</t>
  </si>
  <si>
    <t>Personnel - Contractor &amp; Consulting</t>
  </si>
  <si>
    <t>YES - VR002</t>
  </si>
  <si>
    <t>4 unplanned contractors</t>
  </si>
  <si>
    <t>Accrual rate applied to higher base</t>
  </si>
  <si>
    <t>Higher salary base from unplanned hires drives proportionate bonus accrual increase</t>
  </si>
  <si>
    <t>Software &amp; Licences</t>
  </si>
  <si>
    <t>Minor overage</t>
  </si>
  <si>
    <t>Additional seat licences for new enterprise client, recharged partially to revenue</t>
  </si>
  <si>
    <t>Underspend vs plan</t>
  </si>
  <si>
    <t>Q2 sales events postponed to Q3, travel freeze in May reduced actuals</t>
  </si>
  <si>
    <t>Office &amp; Facilities</t>
  </si>
  <si>
    <t>Fixed</t>
  </si>
  <si>
    <t>No movement</t>
  </si>
  <si>
    <t>Fixed cost as expected</t>
  </si>
  <si>
    <t>Depreciation &amp; Amortisation</t>
  </si>
  <si>
    <t>Asset additions</t>
  </si>
  <si>
    <t>Minor increase from Q1 IT equipment additions now fully in depreciation run</t>
  </si>
  <si>
    <t>Total OPEX</t>
  </si>
  <si>
    <t>Below the line</t>
  </si>
  <si>
    <t>FX</t>
  </si>
  <si>
    <t>EUR/CHF movement</t>
  </si>
  <si>
    <t>EUR/CHF rate 0.9412 vs budget assumption 0.9580, adverse revaluation on EUR-denominated receivables from BU002 and BU003</t>
  </si>
  <si>
    <t>Intercompany Eliminations</t>
  </si>
  <si>
    <t>IC</t>
  </si>
  <si>
    <t>BU002 recharge timing</t>
  </si>
  <si>
    <t>EBIT</t>
  </si>
  <si>
    <t>Summary</t>
  </si>
  <si>
    <t>Account Type</t>
  </si>
  <si>
    <t>P04 Balance (CHF)</t>
  </si>
  <si>
    <t>P05 Balance (CHF)</t>
  </si>
  <si>
    <t>Expected to Post</t>
  </si>
  <si>
    <t>Zero Balance Flag</t>
  </si>
  <si>
    <t>Investigation Status</t>
  </si>
  <si>
    <t>AI Note</t>
  </si>
  <si>
    <t>1100</t>
  </si>
  <si>
    <t>Accounts Receivable - Trade</t>
  </si>
  <si>
    <t>Asset</t>
  </si>
  <si>
    <t>Yes</t>
  </si>
  <si>
    <t>N/A</t>
  </si>
  <si>
    <t>Balance present and consistent with prior period</t>
  </si>
  <si>
    <t>1110</t>
  </si>
  <si>
    <t>Accounts Receivable - Intercompany</t>
  </si>
  <si>
    <t>1200</t>
  </si>
  <si>
    <t>Prepaid Expenses</t>
  </si>
  <si>
    <t>Minor reduction consistent with amortisation schedule</t>
  </si>
  <si>
    <t>1210</t>
  </si>
  <si>
    <t>Deferred Revenue</t>
  </si>
  <si>
    <t>Liability</t>
  </si>
  <si>
    <t>Deferred revenue increase consistent with new enterprise contract</t>
  </si>
  <si>
    <t>1300</t>
  </si>
  <si>
    <t>Inventory - Finished Goods</t>
  </si>
  <si>
    <t>2100</t>
  </si>
  <si>
    <t>Accounts Payable - Trade</t>
  </si>
  <si>
    <t>2110</t>
  </si>
  <si>
    <t>Accounts Payable - Accrued Liabilities</t>
  </si>
  <si>
    <t>Accrued liabilities movement within expected range</t>
  </si>
  <si>
    <t>2200</t>
  </si>
  <si>
    <t>Payroll Payable</t>
  </si>
  <si>
    <t>Payroll payable increase consistent with higher headcount</t>
  </si>
  <si>
    <t>2300</t>
  </si>
  <si>
    <t>Tax Payable - Current</t>
  </si>
  <si>
    <t>2310</t>
  </si>
  <si>
    <t>Deferred Tax Liability</t>
  </si>
  <si>
    <t>Deferred tax movement consistent with timing differences</t>
  </si>
  <si>
    <t>2400</t>
  </si>
  <si>
    <t>Intercompany Payable - BU002</t>
  </si>
  <si>
    <t>YES</t>
  </si>
  <si>
    <t>2410</t>
  </si>
  <si>
    <t>Intercompany Payable - BU003</t>
  </si>
  <si>
    <t>3100</t>
  </si>
  <si>
    <t>Share Capital</t>
  </si>
  <si>
    <t>Equity</t>
  </si>
  <si>
    <t>No movement expected in period</t>
  </si>
  <si>
    <t>3200</t>
  </si>
  <si>
    <t>Retained Earnings</t>
  </si>
  <si>
    <t>Retained earnings updated at year end only</t>
  </si>
  <si>
    <t>4100</t>
  </si>
  <si>
    <t>P&amp;L</t>
  </si>
  <si>
    <t>Revenue posted, 3% above prior period consistent with new client</t>
  </si>
  <si>
    <t>Revenue posted, minor favourable vs plan</t>
  </si>
  <si>
    <t>5100</t>
  </si>
  <si>
    <t>Cost of Sales - Direct</t>
  </si>
  <si>
    <t>COGS posted, increase consistent with higher revenue volume</t>
  </si>
  <si>
    <t>Salary expense posted, increase consistent with headcount</t>
  </si>
  <si>
    <t>Zero balance: legal retainer fee not accrued. Historical average CHF 13.5K/month. Escalated to Regional Controlling Lead.</t>
  </si>
  <si>
    <t>Monthly provision posted consistently</t>
  </si>
  <si>
    <t>Depreciation run posted correctly</t>
  </si>
  <si>
    <t>7100</t>
  </si>
  <si>
    <t>Amortisation posted consistently</t>
  </si>
  <si>
    <t>Total accounts reviewed</t>
  </si>
  <si>
    <t>Accounts with zero balance flag</t>
  </si>
  <si>
    <t>Accounts expected to post with zero balance</t>
  </si>
  <si>
    <t>3 accounts flagged with unexpected zero balances: IC Payable BU002 (CHF 45K missing recharge), Software Licences (CHF 28K recurring accrual), Legal Fees (est. CHF 13.5K retainer). All three require posting before subledger lock to avoid P&amp;L understatement.</t>
  </si>
  <si>
    <t>Reference</t>
  </si>
  <si>
    <t>Topic</t>
  </si>
  <si>
    <t>Draft Commentary Text</t>
  </si>
  <si>
    <t>Para 1</t>
  </si>
  <si>
    <t>Revenue for P05 came in at CHF 4.2M, approximately 2% above forecast, driven by software licence outperformance following a new enterprise client onboarding in Q2.</t>
  </si>
  <si>
    <t>Para 2</t>
  </si>
  <si>
    <t>Personnel</t>
  </si>
  <si>
    <t>Personnel costs were slightly above plan for the period, primarily reflecting normal headcount movements within the approved plan.</t>
  </si>
  <si>
    <t>Para 3</t>
  </si>
  <si>
    <t>Contractor Costs</t>
  </si>
  <si>
    <t>Contractor and consulting fees were higher than budget due to some additional project support engaged during the quarter.</t>
  </si>
  <si>
    <t>Para 4</t>
  </si>
  <si>
    <t>T&amp;E</t>
  </si>
  <si>
    <t>Travel and entertainment was below budget following postponement of Q2 sales events to Q3.</t>
  </si>
  <si>
    <t>Para 5</t>
  </si>
  <si>
    <t>A modest FX revaluation loss was recorded in the period, consistent with EUR/CHF movements.</t>
  </si>
  <si>
    <t>Para 6</t>
  </si>
  <si>
    <t>Overall EBIT for the period was marginally below budget, with revenue outperformance partially offsetting cost pressures.</t>
  </si>
  <si>
    <t>Commentary Ref</t>
  </si>
  <si>
    <t>Reported Figure</t>
  </si>
  <si>
    <t>Commentary States</t>
  </si>
  <si>
    <t>Consistency Status</t>
  </si>
  <si>
    <t>AI Flag &amp; Recommendation</t>
  </si>
  <si>
    <t>CHF 4.178M actual vs CHF 4.050M budget = +3.2% / +CHF 128K favourable</t>
  </si>
  <si>
    <t>States 2% above forecast</t>
  </si>
  <si>
    <t>CHF 128K</t>
  </si>
  <si>
    <t>INCONSISTENT</t>
  </si>
  <si>
    <t>Commentary understates variance magnitude. Reported variance is 3.2% (CHF 128K), not 2%. Recommend updating to: 'Revenue for P05 at CHF 4.2M, 3.2% above forecast (CHF 128K favourable).'</t>
  </si>
  <si>
    <t>Personnel - Contractor</t>
  </si>
  <si>
    <t>States 'some additional project support'</t>
  </si>
  <si>
    <t>CHF 156K</t>
  </si>
  <si>
    <t>Commentary significantly understates a material variance. CHF 156K contractor overage represents a VR002 threshold breach (&gt;CHF 500K at region level when aggregated). Commentary must explicitly state the overage amount and driver. Recommend: '4 unplanned contractor engagements to cover Q2 delivery backlog drove CHF 156K adverse variance, representing the primary cost driver this period.'</t>
  </si>
  <si>
    <t>CHF 5.612M actual vs CHF 5.540M budget = +1.3% / +CHF 72K adverse</t>
  </si>
  <si>
    <t>States 'normal movements within approved plan'</t>
  </si>
  <si>
    <t>CHF 72K</t>
  </si>
  <si>
    <t>CHF 87K actual vs CHF 112K budget = -22.3% / CHF 25K favourable</t>
  </si>
  <si>
    <t>States below budget due to event postponement</t>
  </si>
  <si>
    <t>CHF 25K</t>
  </si>
  <si>
    <t>CONSISTENT</t>
  </si>
  <si>
    <t>Commentary accurately reflects the T&amp;E underspend and reason. No change required.</t>
  </si>
  <si>
    <t>CHF 67K adverse actual vs CHF 45K budget = CHF 22K more adverse than plan</t>
  </si>
  <si>
    <t>States 'modest loss consistent with EUR/CHF movements'</t>
  </si>
  <si>
    <t>CHF 22K</t>
  </si>
  <si>
    <t>States 'marginally below budget'</t>
  </si>
  <si>
    <t>Entity</t>
  </si>
  <si>
    <t>Department</t>
  </si>
  <si>
    <t>Approved HC Plan</t>
  </si>
  <si>
    <t>Actual HC P05</t>
  </si>
  <si>
    <t>Variance (HC)</t>
  </si>
  <si>
    <t>Hires in Period</t>
  </si>
  <si>
    <t>Exits in Period</t>
  </si>
  <si>
    <t>Net HC Movement</t>
  </si>
  <si>
    <t>Monthly Cost Impact</t>
  </si>
  <si>
    <t>Currency</t>
  </si>
  <si>
    <t>AI Exception Flag</t>
  </si>
  <si>
    <t>BU001 Switzerland</t>
  </si>
  <si>
    <t>Engineering</t>
  </si>
  <si>
    <t>CHF</t>
  </si>
  <si>
    <t>Within plan</t>
  </si>
  <si>
    <t>Finance</t>
  </si>
  <si>
    <t>Operations</t>
  </si>
  <si>
    <t>Legal &amp; Compliance</t>
  </si>
  <si>
    <t>TOTAL</t>
  </si>
  <si>
    <t>Net +2 vs plan. Cost impact CHF 43.5K adverse.</t>
  </si>
  <si>
    <t>BU002 Germany</t>
  </si>
  <si>
    <t>EUR</t>
  </si>
  <si>
    <t>Net +5 vs plan. Cost impact EUR 67K adverse. Restructuring creating both additions and exits simultaneously.</t>
  </si>
  <si>
    <t>BU003 Austria</t>
  </si>
  <si>
    <t>No exceptions. Austria headcount fully within approved plan.</t>
  </si>
  <si>
    <t>DACH SUMMARY</t>
  </si>
  <si>
    <t>Total DACH headcount plan</t>
  </si>
  <si>
    <t>Total DACH actual headcount P05</t>
  </si>
  <si>
    <t>Net variance vs plan</t>
  </si>
  <si>
    <t>Departments with exceptions</t>
  </si>
  <si>
    <t>OPEX CHF 224K adverse, contractor overage is primary driver</t>
  </si>
  <si>
    <t>EBIT CHF 178K adverse vs budget. Key drivers: contractor overage CHF 156K, Salaries up by 72K due to unplanned hiring, FX CHF 22K adverse, partially offset by revenue upside CHF 80K and T&amp;E underspend CHF 25K</t>
  </si>
  <si>
    <t>Helvetia Advisory AG - Suggested Accruals Dataset | BU001 Switzerland | Fiscal Period 2026 P05</t>
  </si>
  <si>
    <t>AI Feature: Suggested Accruals - compares prior 3-month average posting patterns against current period submissions to flag missing or anomalous entries</t>
  </si>
  <si>
    <t>MISSING - no submission for recurring monthly charge</t>
  </si>
  <si>
    <t>LOW - submission 86% below 3M average, confirm if genuine reduction</t>
  </si>
  <si>
    <t>MISSING - no submission, legal retainer typically posts monthly</t>
  </si>
  <si>
    <t>HIGH - EUR/CHF revaluation loss 60% above 3M average, verify rate applied</t>
  </si>
  <si>
    <t>MISSING - monthly IC recharge to Germany not submitted</t>
  </si>
  <si>
    <t>Helvetia Advisory AG - Variance Root Cause Dataset | DACH Region Consolidated | Fiscal Period 2026 P05</t>
  </si>
  <si>
    <t>AI Feature: Variance Root Cause Suggestions - reads P&amp;L actuals vs budget, identifies variances above threshold, and suggests probable root causes by driver category</t>
  </si>
  <si>
    <t>CHF 156K overage driven by 4 unplanned contractor engagements to cover delivery backlog in Q2 - primary variance driver this period</t>
  </si>
  <si>
    <t>BU002 Germany IC recharge not yet posted - timing difference, expected to resolve at subledger close</t>
  </si>
  <si>
    <t>Helvetia Advisory AG - Missing Account Checks Dataset | BU001 Switzerland | Fiscal Period 2026 P05</t>
  </si>
  <si>
    <t>AI Feature: Missing Account Checks - compares expected posting list against actual period postings, flags accounts with zero balance that historically post each period</t>
  </si>
  <si>
    <t>IC receivable reduced - consistent with BU002 payment received</t>
  </si>
  <si>
    <t>Zero balance expected - services company, no inventory</t>
  </si>
  <si>
    <t>AP balance reduced - consistent with payment run</t>
  </si>
  <si>
    <t>Current tax increase - consistent with higher YTD profitability</t>
  </si>
  <si>
    <t>FLAGGED - under investigation</t>
  </si>
  <si>
    <t>Zero balance: monthly IC recharge to Germany (CHF 45K) not posted. Accrual missing - see Suggested Accruals dataset.</t>
  </si>
  <si>
    <t>IC payable to Austria stable - consistent with service agreement</t>
  </si>
  <si>
    <t>Zero balance: recurring monthly software licence accrual (CHF 28K) not posted. AI suggested accrual raised - pending controller approval.</t>
  </si>
  <si>
    <t>FX revaluation posted - adverse movement consistent with EUR/CHF weakness</t>
  </si>
  <si>
    <t>Helvetia Advisory AG - Narrative Consistency Check Dataset | BU001 Switzerland | Fiscal Period 2026 P05</t>
  </si>
  <si>
    <t>AI Feature: Narrative Consistency Check - compares draft commentary text against reported variance data, flags lines where narrative understates, overstates, or misattributes variance</t>
  </si>
  <si>
    <t>SECTION A - DRAFT COMMENTARY SUBMITTED BY REGIONAL FP&amp;A LEAD (BU001 Switzerland, P05 2026)</t>
  </si>
  <si>
    <t>SECTION B - AI CONSISTENCY CHECK RESULTS</t>
  </si>
  <si>
    <t>CHF 476K actual vs CHF 320K budget = +48.8% / +CHF 156K adverse - VR002 threshold breach</t>
  </si>
  <si>
    <t>INCONSISTENT - MATERIAL</t>
  </si>
  <si>
    <t>Commentary is misleading - 3 unplanned hires are not within the approved plan. Recommend acknowledging the unplanned headcount additions explicitly.</t>
  </si>
  <si>
    <t>Helvetia Advisory AG - Headcount Exception Detection Dataset | DACH Region (BU001 Switzerland, BU002 Germany, BU003 Austria) | Fiscal Period 2026 P05</t>
  </si>
  <si>
    <t>AI Feature: Headcount Exception Detection - compares approved headcount plan by department against actual headcount including hire and exit log, flags movements outside plan with cost impact</t>
  </si>
  <si>
    <t>EXCEPTION - 3 unplanned hires above approved plan. Engineers onboarded to cover delivery backlog. Monthly cost impact CHF 55.5K.</t>
  </si>
  <si>
    <t>EXIT - 1 finance analyst departed mid-month. Backfill in progress. Monthly cost saving CHF 12K but workload risk at close.</t>
  </si>
  <si>
    <t>EXCEPTION - 3 net unplanned additions. Restructuring programme created role changes; 5 hires offset by 2 exits from redundancies.</t>
  </si>
  <si>
    <t>EXCEPTION - 3 sales roles vacated as part of restructuring. Territory coverage risk in DACH South corridor.</t>
  </si>
  <si>
    <t>EXCEPTION - 2 IT contractors converted to permanent roles, not reflected in approved HC plan.</t>
  </si>
  <si>
    <t>EXCEPTION - 2 net unplanned additions to operations team for restructuring transition support.</t>
  </si>
  <si>
    <t>EXCEPTION - 1 compliance specialist added ahead of regulatory review in Q3.</t>
  </si>
  <si>
    <t>7 departments across DACH have headcount exceptions. Primary concerns: (1) BU002 Germany restructuring creating simultaneous additions and exits - 12 position changes requiring manual review and cost impact reforecast; (2) BU001 Switzerland engineering overage of CHF 55.5K/month - confirm if permanent or temporary contractor coverage; (3) BU002 Germany sales vacancies create DACH South territory coverage risk in Q3. Recommend escalation to DACH Finance Manager before WD+1 close.</t>
  </si>
  <si>
    <t>Marginally' understates a CHF 178K adverse EBIT variance. For a business of this size this is not marginal. Recommend: 'EBIT for P05 was CHF 178K adverse to budget, primarily driven by contractor cost overage (CHF 156K), Salaries for unplanned hiring (CHF 72K) and adverse FX revaluation (CHF 22K), partially offset by revenue outperformance (CHF 128K) and T&amp;E underspend (CHF 25K).'</t>
  </si>
  <si>
    <t>Commentary does not disclose that the FX loss is CHF 22K worse than budget assumption. The EUR/CHF rate of 0.9412 was 168 basis points weaker than the budget assumption of 0.9580. Recommend disclosing the rate differential.</t>
  </si>
  <si>
    <t>Note: Monthly cost impact reflects salary-only rates for permanent role movements. Excludes contractor costs (reported separately in Variance Root Cause), bonus accruals, and social charges. Currency conversion to CHF not applied in this dataset.</t>
  </si>
  <si>
    <t>CHF 178K adverse vs budget</t>
  </si>
  <si>
    <t>CHF 178K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</si>
</sst>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color rgb="FF1F4E79"/>
      <name val="Arial"/>
      <family val="2"/>
    </font>
    <font>
      <i/>
      <sz val="9"/>
      <color rgb="FF595959"/>
      <name val="Arial"/>
      <family val="2"/>
    </font>
    <font>
      <b/>
      <sz val="10"/>
      <color rgb="FFFFFFFF"/>
      <name val="Arial"/>
      <family val="2"/>
    </font>
    <font>
      <sz val="10"/>
      <name val="Arial"/>
      <family val="2"/>
    </font>
    <font>
      <b/>
      <sz val="10"/>
      <name val="Arial"/>
      <family val="2"/>
    </font>
    <font>
      <b/>
      <sz val="10"/>
      <color rgb="FF1F4E79"/>
      <name val="Arial"/>
      <family val="2"/>
    </font>
    <font>
      <sz val="11"/>
      <color theme="1"/>
      <name val="Calibri"/>
      <family val="2"/>
      <scheme val="minor"/>
    </font>
    <font>
      <b/>
      <sz val="9"/>
      <name val="Arial"/>
      <family val="2"/>
    </font>
  </fonts>
  <fills count="9">
    <fill>
      <patternFill patternType="none"/>
    </fill>
    <fill>
      <patternFill patternType="gray125"/>
    </fill>
    <fill>
      <patternFill patternType="solid">
        <fgColor rgb="FF1F4E79"/>
      </patternFill>
    </fill>
    <fill>
      <patternFill patternType="solid">
        <fgColor rgb="FFEBF3FB"/>
      </patternFill>
    </fill>
    <fill>
      <patternFill patternType="solid">
        <fgColor rgb="FFFFCCCC"/>
      </patternFill>
    </fill>
    <fill>
      <patternFill patternType="solid">
        <fgColor rgb="FFFFE699"/>
      </patternFill>
    </fill>
    <fill>
      <patternFill patternType="solid">
        <fgColor rgb="FF2E75B6"/>
      </patternFill>
    </fill>
    <fill>
      <patternFill patternType="solid">
        <fgColor rgb="FFD6E4F0"/>
      </patternFill>
    </fill>
    <fill>
      <patternFill patternType="solid">
        <fgColor rgb="FFE2EFDA"/>
      </patternFill>
    </fill>
  </fills>
  <borders count="3">
    <border>
      <left/>
      <right/>
      <top/>
      <bottom/>
      <diagonal/>
    </border>
    <border>
      <left style="thin">
        <color rgb="FFB0B0B0"/>
      </left>
      <right style="thin">
        <color rgb="FFB0B0B0"/>
      </right>
      <top style="thin">
        <color rgb="FFB0B0B0"/>
      </top>
      <bottom style="thin">
        <color rgb="FFB0B0B0"/>
      </bottom>
      <diagonal/>
    </border>
    <border>
      <left style="thin">
        <color rgb="FFB0B0B0"/>
      </left>
      <right style="thin">
        <color rgb="FFB0B0B0"/>
      </right>
      <top/>
      <bottom/>
      <diagonal/>
    </border>
  </borders>
  <cellStyleXfs count="2">
    <xf numFmtId="0" fontId="0" fillId="0" borderId="0"/>
    <xf numFmtId="9" fontId="7" fillId="0" borderId="0" applyFont="0" applyFill="0" applyBorder="0" applyAlignment="0" applyProtection="0"/>
  </cellStyleXfs>
  <cellXfs count="21">
    <xf numFmtId="0" fontId="0" fillId="0" borderId="0" xfId="0"/>
    <xf numFmtId="0" fontId="3" fillId="2" borderId="1" xfId="0" applyFont="1" applyFill="1" applyBorder="1" applyAlignment="1">
      <alignment horizontal="center" vertical="center" wrapText="1"/>
    </xf>
    <xf numFmtId="0" fontId="4" fillId="3" borderId="1" xfId="0" applyFont="1" applyFill="1" applyBorder="1" applyAlignment="1">
      <alignment vertical="center" wrapText="1"/>
    </xf>
    <xf numFmtId="0" fontId="4" fillId="0" borderId="1" xfId="0" applyFont="1" applyBorder="1" applyAlignment="1">
      <alignment vertical="center" wrapText="1"/>
    </xf>
    <xf numFmtId="0" fontId="4" fillId="4" borderId="1" xfId="0" applyFont="1" applyFill="1" applyBorder="1" applyAlignment="1">
      <alignment vertical="center" wrapText="1"/>
    </xf>
    <xf numFmtId="0" fontId="4" fillId="5" borderId="1" xfId="0" applyFont="1" applyFill="1" applyBorder="1" applyAlignment="1">
      <alignment vertical="center" wrapText="1"/>
    </xf>
    <xf numFmtId="0" fontId="5" fillId="0" borderId="1" xfId="0" applyFont="1" applyBorder="1"/>
    <xf numFmtId="0" fontId="4" fillId="0" borderId="1" xfId="0" applyFont="1" applyBorder="1"/>
    <xf numFmtId="0" fontId="4" fillId="0" borderId="1" xfId="0" applyFont="1" applyBorder="1" applyAlignment="1">
      <alignment wrapText="1"/>
    </xf>
    <xf numFmtId="0" fontId="3" fillId="6" borderId="1" xfId="0" applyFont="1" applyFill="1" applyBorder="1" applyAlignment="1">
      <alignment vertical="center" wrapText="1"/>
    </xf>
    <xf numFmtId="0" fontId="4" fillId="8" borderId="1" xfId="0" applyFont="1" applyFill="1" applyBorder="1" applyAlignment="1">
      <alignment vertical="center" wrapText="1"/>
    </xf>
    <xf numFmtId="10" fontId="4" fillId="3" borderId="1" xfId="1" applyNumberFormat="1" applyFont="1" applyFill="1" applyBorder="1" applyAlignment="1">
      <alignment vertical="center" wrapText="1"/>
    </xf>
    <xf numFmtId="10" fontId="4" fillId="0" borderId="1" xfId="1" applyNumberFormat="1" applyFont="1" applyBorder="1" applyAlignment="1">
      <alignment vertical="center" wrapText="1"/>
    </xf>
    <xf numFmtId="10" fontId="3" fillId="6" borderId="1" xfId="1" applyNumberFormat="1" applyFont="1" applyFill="1" applyBorder="1" applyAlignment="1">
      <alignment vertical="center" wrapText="1"/>
    </xf>
    <xf numFmtId="10" fontId="4" fillId="4" borderId="1" xfId="1" applyNumberFormat="1" applyFont="1" applyFill="1" applyBorder="1" applyAlignment="1">
      <alignment vertical="center" wrapText="1"/>
    </xf>
    <xf numFmtId="0" fontId="4" fillId="5" borderId="1" xfId="0" quotePrefix="1" applyFont="1" applyFill="1" applyBorder="1" applyAlignment="1">
      <alignment vertical="center" wrapText="1"/>
    </xf>
    <xf numFmtId="0" fontId="8" fillId="0" borderId="2" xfId="0" applyFont="1" applyBorder="1"/>
    <xf numFmtId="0" fontId="1" fillId="0" borderId="0" xfId="0" applyFont="1" applyAlignment="1">
      <alignment horizontal="left" vertical="center"/>
    </xf>
    <xf numFmtId="0" fontId="0" fillId="0" borderId="0" xfId="0"/>
    <xf numFmtId="0" fontId="2" fillId="0" borderId="0" xfId="0" applyFont="1"/>
    <xf numFmtId="0" fontId="6" fillId="7" borderId="0" xfId="0" applyFont="1" applyFill="1"/>
  </cellXfs>
  <cellStyles count="2">
    <cellStyle name="Normal" xfId="0" builtinId="0"/>
    <cellStyle name="Percent"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4"/>
  <sheetViews>
    <sheetView tabSelected="1" workbookViewId="0">
      <pane ySplit="3" topLeftCell="A4" activePane="bottomLeft" state="frozen"/>
      <selection pane="bottomLeft" sqref="A1:J1"/>
    </sheetView>
  </sheetViews>
  <sheetFormatPr defaultRowHeight="15" x14ac:dyDescent="0.25"/>
  <cols>
    <col min="1" max="1" width="12" customWidth="1"/>
    <col min="2" max="2" width="30" customWidth="1"/>
    <col min="3" max="3" width="12" customWidth="1"/>
    <col min="4" max="4" width="18" customWidth="1"/>
    <col min="5" max="6" width="16" customWidth="1"/>
    <col min="7" max="7" width="14" customWidth="1"/>
    <col min="8" max="9" width="18" customWidth="1"/>
    <col min="10" max="10" width="55" customWidth="1"/>
  </cols>
  <sheetData>
    <row r="1" spans="1:10" ht="21.95" customHeight="1" x14ac:dyDescent="0.25">
      <c r="A1" s="17" t="s">
        <v>269</v>
      </c>
      <c r="B1" s="18"/>
      <c r="C1" s="18"/>
      <c r="D1" s="18"/>
      <c r="E1" s="18"/>
      <c r="F1" s="18"/>
      <c r="G1" s="18"/>
      <c r="H1" s="18"/>
      <c r="I1" s="18"/>
      <c r="J1" s="18"/>
    </row>
    <row r="2" spans="1:10" x14ac:dyDescent="0.25">
      <c r="A2" s="19" t="s">
        <v>270</v>
      </c>
      <c r="B2" s="18"/>
      <c r="C2" s="18"/>
      <c r="D2" s="18"/>
      <c r="E2" s="18"/>
      <c r="F2" s="18"/>
      <c r="G2" s="18"/>
      <c r="H2" s="18"/>
      <c r="I2" s="18"/>
      <c r="J2" s="18"/>
    </row>
    <row r="3" spans="1:10" ht="30" customHeight="1" x14ac:dyDescent="0.25">
      <c r="A3" s="1" t="s">
        <v>0</v>
      </c>
      <c r="B3" s="1" t="s">
        <v>1</v>
      </c>
      <c r="C3" s="1" t="s">
        <v>2</v>
      </c>
      <c r="D3" s="1" t="s">
        <v>3</v>
      </c>
      <c r="E3" s="1" t="s">
        <v>4</v>
      </c>
      <c r="F3" s="1" t="s">
        <v>5</v>
      </c>
      <c r="G3" s="1" t="s">
        <v>6</v>
      </c>
      <c r="H3" s="1" t="s">
        <v>7</v>
      </c>
      <c r="I3" s="1" t="s">
        <v>8</v>
      </c>
      <c r="J3" s="1" t="s">
        <v>9</v>
      </c>
    </row>
    <row r="4" spans="1:10" x14ac:dyDescent="0.25">
      <c r="A4" s="2" t="s">
        <v>10</v>
      </c>
      <c r="B4" s="2" t="s">
        <v>11</v>
      </c>
      <c r="C4" s="2" t="s">
        <v>12</v>
      </c>
      <c r="D4" s="2" t="s">
        <v>13</v>
      </c>
      <c r="E4" s="2">
        <v>1842000</v>
      </c>
      <c r="F4" s="2">
        <v>1856000</v>
      </c>
      <c r="G4" s="2">
        <v>1849000</v>
      </c>
      <c r="H4" s="2">
        <v>1851000</v>
      </c>
      <c r="I4" s="2">
        <f>H4-G4</f>
        <v>2000</v>
      </c>
      <c r="J4" s="2"/>
    </row>
    <row r="5" spans="1:10" x14ac:dyDescent="0.25">
      <c r="A5" s="3" t="s">
        <v>14</v>
      </c>
      <c r="B5" s="3" t="s">
        <v>15</v>
      </c>
      <c r="C5" s="3" t="s">
        <v>12</v>
      </c>
      <c r="D5" s="3" t="s">
        <v>13</v>
      </c>
      <c r="E5" s="3">
        <v>312000</v>
      </c>
      <c r="F5" s="3">
        <v>318000</v>
      </c>
      <c r="G5" s="3">
        <v>315000</v>
      </c>
      <c r="H5" s="3">
        <v>316000</v>
      </c>
      <c r="I5" s="3">
        <f t="shared" ref="I5:I20" si="0">H5-G5</f>
        <v>1000</v>
      </c>
      <c r="J5" s="3"/>
    </row>
    <row r="6" spans="1:10" x14ac:dyDescent="0.25">
      <c r="A6" s="2" t="s">
        <v>16</v>
      </c>
      <c r="B6" s="2" t="s">
        <v>17</v>
      </c>
      <c r="C6" s="2" t="s">
        <v>12</v>
      </c>
      <c r="D6" s="2" t="s">
        <v>13</v>
      </c>
      <c r="E6" s="2">
        <v>248000</v>
      </c>
      <c r="F6" s="2">
        <v>251000</v>
      </c>
      <c r="G6" s="2">
        <v>249500</v>
      </c>
      <c r="H6" s="2">
        <v>250000</v>
      </c>
      <c r="I6" s="2">
        <f t="shared" si="0"/>
        <v>500</v>
      </c>
      <c r="J6" s="2"/>
    </row>
    <row r="7" spans="1:10" x14ac:dyDescent="0.25">
      <c r="A7" s="3" t="s">
        <v>18</v>
      </c>
      <c r="B7" s="3" t="s">
        <v>19</v>
      </c>
      <c r="C7" s="3" t="s">
        <v>20</v>
      </c>
      <c r="D7" s="3" t="s">
        <v>21</v>
      </c>
      <c r="E7" s="3">
        <v>187000</v>
      </c>
      <c r="F7" s="3">
        <v>193000</v>
      </c>
      <c r="G7" s="3">
        <v>190000</v>
      </c>
      <c r="H7" s="3">
        <v>194000</v>
      </c>
      <c r="I7" s="3">
        <f t="shared" si="0"/>
        <v>4000</v>
      </c>
      <c r="J7" s="3"/>
    </row>
    <row r="8" spans="1:10" x14ac:dyDescent="0.25">
      <c r="A8" s="4" t="s">
        <v>22</v>
      </c>
      <c r="B8" s="4" t="s">
        <v>23</v>
      </c>
      <c r="C8" s="4" t="s">
        <v>24</v>
      </c>
      <c r="D8" s="4" t="s">
        <v>25</v>
      </c>
      <c r="E8" s="4">
        <v>28000</v>
      </c>
      <c r="F8" s="4">
        <v>28000</v>
      </c>
      <c r="G8" s="4">
        <v>28000</v>
      </c>
      <c r="H8" s="4">
        <v>0</v>
      </c>
      <c r="I8" s="4">
        <f t="shared" si="0"/>
        <v>-28000</v>
      </c>
      <c r="J8" s="4" t="s">
        <v>271</v>
      </c>
    </row>
    <row r="9" spans="1:10" x14ac:dyDescent="0.25">
      <c r="A9" s="3" t="s">
        <v>26</v>
      </c>
      <c r="B9" s="3" t="s">
        <v>27</v>
      </c>
      <c r="C9" s="3" t="s">
        <v>24</v>
      </c>
      <c r="D9" s="3" t="s">
        <v>25</v>
      </c>
      <c r="E9" s="3">
        <v>54000</v>
      </c>
      <c r="F9" s="3">
        <v>56000</v>
      </c>
      <c r="G9" s="3">
        <v>55000</v>
      </c>
      <c r="H9" s="3">
        <v>55000</v>
      </c>
      <c r="I9" s="3">
        <f t="shared" si="0"/>
        <v>0</v>
      </c>
      <c r="J9" s="3"/>
    </row>
    <row r="10" spans="1:10" x14ac:dyDescent="0.25">
      <c r="A10" s="2" t="s">
        <v>28</v>
      </c>
      <c r="B10" s="2" t="s">
        <v>29</v>
      </c>
      <c r="C10" s="2" t="s">
        <v>30</v>
      </c>
      <c r="D10" s="2" t="s">
        <v>31</v>
      </c>
      <c r="E10" s="2">
        <v>42000</v>
      </c>
      <c r="F10" s="2">
        <v>42000</v>
      </c>
      <c r="G10" s="2">
        <v>42000</v>
      </c>
      <c r="H10" s="2">
        <v>42000</v>
      </c>
      <c r="I10" s="2">
        <f t="shared" si="0"/>
        <v>0</v>
      </c>
      <c r="J10" s="2"/>
    </row>
    <row r="11" spans="1:10" x14ac:dyDescent="0.25">
      <c r="A11" s="3" t="s">
        <v>32</v>
      </c>
      <c r="B11" s="3" t="s">
        <v>33</v>
      </c>
      <c r="C11" s="3" t="s">
        <v>30</v>
      </c>
      <c r="D11" s="3" t="s">
        <v>31</v>
      </c>
      <c r="E11" s="3">
        <v>8400</v>
      </c>
      <c r="F11" s="3">
        <v>8600</v>
      </c>
      <c r="G11" s="3">
        <v>8500</v>
      </c>
      <c r="H11" s="3">
        <v>8500</v>
      </c>
      <c r="I11" s="3">
        <f t="shared" si="0"/>
        <v>0</v>
      </c>
      <c r="J11" s="3"/>
    </row>
    <row r="12" spans="1:10" ht="25.5" x14ac:dyDescent="0.25">
      <c r="A12" s="5" t="s">
        <v>34</v>
      </c>
      <c r="B12" s="5" t="s">
        <v>35</v>
      </c>
      <c r="C12" s="5" t="s">
        <v>36</v>
      </c>
      <c r="D12" s="5" t="s">
        <v>37</v>
      </c>
      <c r="E12" s="5">
        <v>31000</v>
      </c>
      <c r="F12" s="5">
        <v>28000</v>
      </c>
      <c r="G12" s="5">
        <v>29500</v>
      </c>
      <c r="H12" s="5">
        <v>4200</v>
      </c>
      <c r="I12" s="5">
        <f t="shared" si="0"/>
        <v>-25300</v>
      </c>
      <c r="J12" s="5" t="s">
        <v>272</v>
      </c>
    </row>
    <row r="13" spans="1:10" x14ac:dyDescent="0.25">
      <c r="A13" s="3" t="s">
        <v>39</v>
      </c>
      <c r="B13" s="3" t="s">
        <v>40</v>
      </c>
      <c r="C13" s="3" t="s">
        <v>36</v>
      </c>
      <c r="D13" s="3" t="s">
        <v>37</v>
      </c>
      <c r="E13" s="3">
        <v>18000</v>
      </c>
      <c r="F13" s="3">
        <v>22000</v>
      </c>
      <c r="G13" s="3">
        <v>20000</v>
      </c>
      <c r="H13" s="3">
        <v>19800</v>
      </c>
      <c r="I13" s="3">
        <f t="shared" si="0"/>
        <v>-200</v>
      </c>
      <c r="J13" s="3"/>
    </row>
    <row r="14" spans="1:10" ht="25.5" x14ac:dyDescent="0.25">
      <c r="A14" s="4" t="s">
        <v>41</v>
      </c>
      <c r="B14" s="4" t="s">
        <v>42</v>
      </c>
      <c r="C14" s="4" t="s">
        <v>43</v>
      </c>
      <c r="D14" s="4" t="s">
        <v>44</v>
      </c>
      <c r="E14" s="4">
        <v>15000</v>
      </c>
      <c r="F14" s="4">
        <v>12000</v>
      </c>
      <c r="G14" s="4">
        <v>13500</v>
      </c>
      <c r="H14" s="4">
        <v>0</v>
      </c>
      <c r="I14" s="4">
        <f t="shared" si="0"/>
        <v>-13500</v>
      </c>
      <c r="J14" s="4" t="s">
        <v>273</v>
      </c>
    </row>
    <row r="15" spans="1:10" x14ac:dyDescent="0.25">
      <c r="A15" s="3" t="s">
        <v>45</v>
      </c>
      <c r="B15" s="3" t="s">
        <v>46</v>
      </c>
      <c r="C15" s="3" t="s">
        <v>47</v>
      </c>
      <c r="D15" s="3" t="s">
        <v>48</v>
      </c>
      <c r="E15" s="3">
        <v>22000</v>
      </c>
      <c r="F15" s="3">
        <v>22000</v>
      </c>
      <c r="G15" s="3">
        <v>22000</v>
      </c>
      <c r="H15" s="3">
        <v>22000</v>
      </c>
      <c r="I15" s="3">
        <f t="shared" si="0"/>
        <v>0</v>
      </c>
      <c r="J15" s="3"/>
    </row>
    <row r="16" spans="1:10" x14ac:dyDescent="0.25">
      <c r="A16" s="2" t="s">
        <v>49</v>
      </c>
      <c r="B16" s="2" t="s">
        <v>50</v>
      </c>
      <c r="C16" s="2" t="s">
        <v>47</v>
      </c>
      <c r="D16" s="2" t="s">
        <v>48</v>
      </c>
      <c r="E16" s="2">
        <v>11000</v>
      </c>
      <c r="F16" s="2">
        <v>11000</v>
      </c>
      <c r="G16" s="2">
        <v>11000</v>
      </c>
      <c r="H16" s="2">
        <v>11000</v>
      </c>
      <c r="I16" s="2">
        <f t="shared" si="0"/>
        <v>0</v>
      </c>
      <c r="J16" s="2"/>
    </row>
    <row r="17" spans="1:10" ht="25.5" x14ac:dyDescent="0.25">
      <c r="A17" s="5" t="s">
        <v>51</v>
      </c>
      <c r="B17" s="5" t="s">
        <v>52</v>
      </c>
      <c r="C17" s="5" t="s">
        <v>53</v>
      </c>
      <c r="D17" s="5" t="s">
        <v>54</v>
      </c>
      <c r="E17" s="5">
        <v>-18000</v>
      </c>
      <c r="F17" s="5">
        <v>-12000</v>
      </c>
      <c r="G17" s="5">
        <v>-15000</v>
      </c>
      <c r="H17" s="5">
        <v>-24000</v>
      </c>
      <c r="I17" s="5">
        <f t="shared" si="0"/>
        <v>-9000</v>
      </c>
      <c r="J17" s="5" t="s">
        <v>274</v>
      </c>
    </row>
    <row r="18" spans="1:10" x14ac:dyDescent="0.25">
      <c r="A18" s="2" t="s">
        <v>55</v>
      </c>
      <c r="B18" s="2" t="s">
        <v>56</v>
      </c>
      <c r="C18" s="2" t="s">
        <v>57</v>
      </c>
      <c r="D18" s="2" t="s">
        <v>58</v>
      </c>
      <c r="E18" s="2">
        <v>5000</v>
      </c>
      <c r="F18" s="2">
        <v>5000</v>
      </c>
      <c r="G18" s="2">
        <v>5000</v>
      </c>
      <c r="H18" s="2">
        <v>5000</v>
      </c>
      <c r="I18" s="2">
        <f t="shared" si="0"/>
        <v>0</v>
      </c>
      <c r="J18" s="2"/>
    </row>
    <row r="19" spans="1:10" x14ac:dyDescent="0.25">
      <c r="A19" s="3" t="s">
        <v>59</v>
      </c>
      <c r="B19" s="3" t="s">
        <v>60</v>
      </c>
      <c r="C19" s="3" t="s">
        <v>57</v>
      </c>
      <c r="D19" s="3" t="s">
        <v>44</v>
      </c>
      <c r="E19" s="3">
        <v>8000</v>
      </c>
      <c r="F19" s="3">
        <v>8000</v>
      </c>
      <c r="G19" s="3">
        <v>8000</v>
      </c>
      <c r="H19" s="3">
        <v>8000</v>
      </c>
      <c r="I19" s="3">
        <f t="shared" si="0"/>
        <v>0</v>
      </c>
      <c r="J19" s="3"/>
    </row>
    <row r="20" spans="1:10" x14ac:dyDescent="0.25">
      <c r="A20" s="4" t="s">
        <v>61</v>
      </c>
      <c r="B20" s="4" t="s">
        <v>62</v>
      </c>
      <c r="C20" s="4" t="s">
        <v>63</v>
      </c>
      <c r="D20" s="4" t="s">
        <v>64</v>
      </c>
      <c r="E20" s="4">
        <v>45000</v>
      </c>
      <c r="F20" s="4">
        <v>45000</v>
      </c>
      <c r="G20" s="4">
        <v>45000</v>
      </c>
      <c r="H20" s="4">
        <v>0</v>
      </c>
      <c r="I20" s="4">
        <f t="shared" si="0"/>
        <v>-45000</v>
      </c>
      <c r="J20" s="4" t="s">
        <v>275</v>
      </c>
    </row>
    <row r="21" spans="1:10" x14ac:dyDescent="0.25">
      <c r="A21" s="6" t="s">
        <v>65</v>
      </c>
      <c r="B21" s="7"/>
      <c r="C21" s="7"/>
      <c r="D21" s="7"/>
      <c r="E21" s="7"/>
      <c r="F21" s="7"/>
      <c r="G21" s="7"/>
      <c r="H21" s="7"/>
      <c r="I21" s="7"/>
      <c r="J21" s="7"/>
    </row>
    <row r="22" spans="1:10" x14ac:dyDescent="0.25">
      <c r="A22" s="6" t="s">
        <v>66</v>
      </c>
      <c r="B22" s="7">
        <v>3</v>
      </c>
      <c r="C22" s="7"/>
      <c r="D22" s="7"/>
      <c r="E22" s="7"/>
      <c r="F22" s="7"/>
      <c r="G22" s="7"/>
      <c r="H22" s="7"/>
      <c r="I22" s="7"/>
      <c r="J22" s="7"/>
    </row>
    <row r="23" spans="1:10" x14ac:dyDescent="0.25">
      <c r="A23" s="6" t="s">
        <v>67</v>
      </c>
      <c r="B23" s="7">
        <f>SUM(I8,I14,I20)*-1</f>
        <v>86500</v>
      </c>
      <c r="C23" s="7"/>
      <c r="D23" s="7"/>
      <c r="E23" s="7"/>
      <c r="F23" s="7"/>
      <c r="G23" s="7"/>
      <c r="H23" s="7"/>
      <c r="I23" s="7"/>
      <c r="J23" s="7"/>
    </row>
    <row r="24" spans="1:10" ht="45" customHeight="1" x14ac:dyDescent="0.25">
      <c r="A24" s="6" t="s">
        <v>68</v>
      </c>
      <c r="B24" s="8" t="s">
        <v>69</v>
      </c>
      <c r="C24" s="7"/>
      <c r="D24" s="7"/>
      <c r="E24" s="7"/>
      <c r="F24" s="7"/>
      <c r="G24" s="7"/>
      <c r="H24" s="7"/>
      <c r="I24" s="7"/>
      <c r="J24" s="7"/>
    </row>
  </sheetData>
  <mergeCells count="2">
    <mergeCell ref="A1:J1"/>
    <mergeCell ref="A2:J2"/>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8"/>
  <sheetViews>
    <sheetView workbookViewId="0">
      <pane ySplit="3" topLeftCell="A4" activePane="bottomLeft" state="frozen"/>
      <selection pane="bottomLeft" sqref="A1:K1"/>
    </sheetView>
  </sheetViews>
  <sheetFormatPr defaultRowHeight="15" x14ac:dyDescent="0.25"/>
  <cols>
    <col min="1" max="1" width="28" customWidth="1"/>
    <col min="2" max="2" width="16" customWidth="1"/>
    <col min="3" max="5" width="14" customWidth="1"/>
    <col min="6" max="6" width="12" customWidth="1"/>
    <col min="7" max="8" width="16" customWidth="1"/>
    <col min="9" max="9" width="28" customWidth="1"/>
    <col min="10" max="10" width="14" customWidth="1"/>
    <col min="11" max="11" width="52" customWidth="1"/>
  </cols>
  <sheetData>
    <row r="1" spans="1:11" ht="21.95" customHeight="1" x14ac:dyDescent="0.25">
      <c r="A1" s="17" t="s">
        <v>276</v>
      </c>
      <c r="B1" s="18"/>
      <c r="C1" s="18"/>
      <c r="D1" s="18"/>
      <c r="E1" s="18"/>
      <c r="F1" s="18"/>
      <c r="G1" s="18"/>
      <c r="H1" s="18"/>
      <c r="I1" s="18"/>
      <c r="J1" s="18"/>
      <c r="K1" s="18"/>
    </row>
    <row r="2" spans="1:11" x14ac:dyDescent="0.25">
      <c r="A2" s="19" t="s">
        <v>277</v>
      </c>
      <c r="B2" s="18"/>
      <c r="C2" s="18"/>
      <c r="D2" s="18"/>
      <c r="E2" s="18"/>
      <c r="F2" s="18"/>
      <c r="G2" s="18"/>
      <c r="H2" s="18"/>
      <c r="I2" s="18"/>
      <c r="J2" s="18"/>
      <c r="K2" s="18"/>
    </row>
    <row r="3" spans="1:11" ht="30" customHeight="1" x14ac:dyDescent="0.25">
      <c r="A3" s="1" t="s">
        <v>70</v>
      </c>
      <c r="B3" s="1" t="s">
        <v>71</v>
      </c>
      <c r="C3" s="1" t="s">
        <v>72</v>
      </c>
      <c r="D3" s="1" t="s">
        <v>73</v>
      </c>
      <c r="E3" s="1" t="s">
        <v>74</v>
      </c>
      <c r="F3" s="1" t="s">
        <v>75</v>
      </c>
      <c r="G3" s="1" t="s">
        <v>76</v>
      </c>
      <c r="H3" s="1" t="s">
        <v>77</v>
      </c>
      <c r="I3" s="1" t="s">
        <v>78</v>
      </c>
      <c r="J3" s="1" t="s">
        <v>79</v>
      </c>
      <c r="K3" s="1" t="s">
        <v>80</v>
      </c>
    </row>
    <row r="4" spans="1:11" ht="39.950000000000003" customHeight="1" x14ac:dyDescent="0.25">
      <c r="A4" s="2" t="s">
        <v>81</v>
      </c>
      <c r="B4" s="2" t="s">
        <v>82</v>
      </c>
      <c r="C4" s="2">
        <v>4050000</v>
      </c>
      <c r="D4" s="2">
        <v>4178000</v>
      </c>
      <c r="E4" s="2">
        <f>D4-C4</f>
        <v>128000</v>
      </c>
      <c r="F4" s="11">
        <f>IFERROR(E4/C4,0)</f>
        <v>3.1604938271604939E-2</v>
      </c>
      <c r="G4" s="2" t="s">
        <v>83</v>
      </c>
      <c r="H4" s="2" t="s">
        <v>84</v>
      </c>
      <c r="I4" s="2" t="s">
        <v>85</v>
      </c>
      <c r="J4" s="2">
        <v>0</v>
      </c>
      <c r="K4" s="2" t="s">
        <v>86</v>
      </c>
    </row>
    <row r="5" spans="1:11" ht="39.950000000000003" customHeight="1" x14ac:dyDescent="0.25">
      <c r="A5" s="3" t="s">
        <v>87</v>
      </c>
      <c r="B5" s="3" t="s">
        <v>82</v>
      </c>
      <c r="C5" s="3">
        <v>1820000</v>
      </c>
      <c r="D5" s="3">
        <v>1764000</v>
      </c>
      <c r="E5" s="3">
        <f>D5-C5</f>
        <v>-56000</v>
      </c>
      <c r="F5" s="12">
        <f t="shared" ref="F5:F18" si="0">IFERROR(E5/C5,0)</f>
        <v>-3.0769230769230771E-2</v>
      </c>
      <c r="G5" s="3" t="s">
        <v>83</v>
      </c>
      <c r="H5" s="3" t="s">
        <v>84</v>
      </c>
      <c r="I5" s="3" t="s">
        <v>88</v>
      </c>
      <c r="J5" s="3">
        <v>0</v>
      </c>
      <c r="K5" s="3" t="s">
        <v>89</v>
      </c>
    </row>
    <row r="6" spans="1:11" ht="39.950000000000003" customHeight="1" x14ac:dyDescent="0.25">
      <c r="A6" s="2" t="s">
        <v>90</v>
      </c>
      <c r="B6" s="2" t="s">
        <v>82</v>
      </c>
      <c r="C6" s="2">
        <v>680000</v>
      </c>
      <c r="D6" s="2">
        <v>688000</v>
      </c>
      <c r="E6" s="2">
        <f>D6-C6</f>
        <v>8000</v>
      </c>
      <c r="F6" s="11">
        <f t="shared" si="0"/>
        <v>1.1764705882352941E-2</v>
      </c>
      <c r="G6" s="2" t="s">
        <v>83</v>
      </c>
      <c r="H6" s="2" t="s">
        <v>84</v>
      </c>
      <c r="I6" s="2" t="s">
        <v>91</v>
      </c>
      <c r="J6" s="2">
        <v>0</v>
      </c>
      <c r="K6" s="2" t="s">
        <v>92</v>
      </c>
    </row>
    <row r="7" spans="1:11" ht="39.950000000000003" customHeight="1" x14ac:dyDescent="0.25">
      <c r="A7" s="9" t="s">
        <v>93</v>
      </c>
      <c r="B7" s="9" t="s">
        <v>82</v>
      </c>
      <c r="C7" s="9">
        <f>SUM(C4:C6)</f>
        <v>6550000</v>
      </c>
      <c r="D7" s="9">
        <f>SUM(D4:D6)</f>
        <v>6630000</v>
      </c>
      <c r="E7" s="9">
        <f>D7-C7</f>
        <v>80000</v>
      </c>
      <c r="F7" s="13">
        <f t="shared" si="0"/>
        <v>1.2213740458015267E-2</v>
      </c>
      <c r="G7" s="9" t="s">
        <v>83</v>
      </c>
      <c r="H7" s="9" t="s">
        <v>94</v>
      </c>
      <c r="I7" s="9"/>
      <c r="J7" s="9">
        <v>0</v>
      </c>
      <c r="K7" s="9" t="s">
        <v>95</v>
      </c>
    </row>
    <row r="8" spans="1:11" ht="39.950000000000003" customHeight="1" x14ac:dyDescent="0.25">
      <c r="A8" s="2" t="s">
        <v>11</v>
      </c>
      <c r="B8" s="2" t="s">
        <v>96</v>
      </c>
      <c r="C8" s="2">
        <v>5540000</v>
      </c>
      <c r="D8" s="2">
        <v>5612000</v>
      </c>
      <c r="E8" s="2">
        <f t="shared" ref="E8:E18" si="1">D8-C8</f>
        <v>72000</v>
      </c>
      <c r="F8" s="11">
        <f t="shared" si="0"/>
        <v>1.2996389891696752E-2</v>
      </c>
      <c r="G8" s="2" t="s">
        <v>83</v>
      </c>
      <c r="H8" s="2" t="s">
        <v>97</v>
      </c>
      <c r="I8" s="2" t="s">
        <v>98</v>
      </c>
      <c r="J8" s="2">
        <v>0</v>
      </c>
      <c r="K8" s="2" t="s">
        <v>99</v>
      </c>
    </row>
    <row r="9" spans="1:11" ht="39.950000000000003" customHeight="1" x14ac:dyDescent="0.25">
      <c r="A9" s="4" t="s">
        <v>100</v>
      </c>
      <c r="B9" s="4" t="s">
        <v>96</v>
      </c>
      <c r="C9" s="4">
        <v>320000</v>
      </c>
      <c r="D9" s="4">
        <v>476000</v>
      </c>
      <c r="E9" s="4">
        <f t="shared" si="1"/>
        <v>156000</v>
      </c>
      <c r="F9" s="14">
        <f t="shared" si="0"/>
        <v>0.48749999999999999</v>
      </c>
      <c r="G9" s="4" t="s">
        <v>101</v>
      </c>
      <c r="H9" s="4" t="s">
        <v>97</v>
      </c>
      <c r="I9" s="4" t="s">
        <v>102</v>
      </c>
      <c r="J9" s="4">
        <v>0</v>
      </c>
      <c r="K9" s="4" t="s">
        <v>278</v>
      </c>
    </row>
    <row r="10" spans="1:11" ht="39.950000000000003" customHeight="1" x14ac:dyDescent="0.25">
      <c r="A10" s="2" t="s">
        <v>15</v>
      </c>
      <c r="B10" s="2" t="s">
        <v>96</v>
      </c>
      <c r="C10" s="2">
        <v>948000</v>
      </c>
      <c r="D10" s="2">
        <v>962000</v>
      </c>
      <c r="E10" s="2">
        <f t="shared" si="1"/>
        <v>14000</v>
      </c>
      <c r="F10" s="11">
        <f t="shared" si="0"/>
        <v>1.4767932489451477E-2</v>
      </c>
      <c r="G10" s="2" t="s">
        <v>83</v>
      </c>
      <c r="H10" s="2" t="s">
        <v>97</v>
      </c>
      <c r="I10" s="2" t="s">
        <v>103</v>
      </c>
      <c r="J10" s="2">
        <v>0</v>
      </c>
      <c r="K10" s="2" t="s">
        <v>104</v>
      </c>
    </row>
    <row r="11" spans="1:11" ht="39.950000000000003" customHeight="1" x14ac:dyDescent="0.25">
      <c r="A11" s="3" t="s">
        <v>105</v>
      </c>
      <c r="B11" s="3" t="s">
        <v>96</v>
      </c>
      <c r="C11" s="3">
        <v>168000</v>
      </c>
      <c r="D11" s="3">
        <v>171000</v>
      </c>
      <c r="E11" s="3">
        <f t="shared" si="1"/>
        <v>3000</v>
      </c>
      <c r="F11" s="12">
        <f t="shared" si="0"/>
        <v>1.7857142857142856E-2</v>
      </c>
      <c r="G11" s="3" t="s">
        <v>83</v>
      </c>
      <c r="H11" s="3" t="s">
        <v>84</v>
      </c>
      <c r="I11" s="3" t="s">
        <v>106</v>
      </c>
      <c r="J11" s="3">
        <v>0</v>
      </c>
      <c r="K11" s="3" t="s">
        <v>107</v>
      </c>
    </row>
    <row r="12" spans="1:11" ht="39.950000000000003" customHeight="1" x14ac:dyDescent="0.25">
      <c r="A12" s="2" t="s">
        <v>35</v>
      </c>
      <c r="B12" s="2" t="s">
        <v>96</v>
      </c>
      <c r="C12" s="2">
        <v>112000</v>
      </c>
      <c r="D12" s="2">
        <v>87000</v>
      </c>
      <c r="E12" s="2">
        <f t="shared" si="1"/>
        <v>-25000</v>
      </c>
      <c r="F12" s="11">
        <f t="shared" si="0"/>
        <v>-0.22321428571428573</v>
      </c>
      <c r="G12" s="2" t="s">
        <v>83</v>
      </c>
      <c r="H12" s="2" t="s">
        <v>84</v>
      </c>
      <c r="I12" s="2" t="s">
        <v>108</v>
      </c>
      <c r="J12" s="2">
        <v>0</v>
      </c>
      <c r="K12" s="2" t="s">
        <v>109</v>
      </c>
    </row>
    <row r="13" spans="1:11" ht="39.950000000000003" customHeight="1" x14ac:dyDescent="0.25">
      <c r="A13" s="3" t="s">
        <v>110</v>
      </c>
      <c r="B13" s="3" t="s">
        <v>96</v>
      </c>
      <c r="C13" s="3">
        <v>204000</v>
      </c>
      <c r="D13" s="3">
        <v>204000</v>
      </c>
      <c r="E13" s="3">
        <f t="shared" si="1"/>
        <v>0</v>
      </c>
      <c r="F13" s="12">
        <f t="shared" si="0"/>
        <v>0</v>
      </c>
      <c r="G13" s="3" t="s">
        <v>83</v>
      </c>
      <c r="H13" s="3" t="s">
        <v>111</v>
      </c>
      <c r="I13" s="3" t="s">
        <v>112</v>
      </c>
      <c r="J13" s="3">
        <v>0</v>
      </c>
      <c r="K13" s="3" t="s">
        <v>113</v>
      </c>
    </row>
    <row r="14" spans="1:11" ht="39.950000000000003" customHeight="1" x14ac:dyDescent="0.25">
      <c r="A14" s="2" t="s">
        <v>114</v>
      </c>
      <c r="B14" s="2" t="s">
        <v>96</v>
      </c>
      <c r="C14" s="2">
        <v>396000</v>
      </c>
      <c r="D14" s="2">
        <v>400000</v>
      </c>
      <c r="E14" s="2">
        <f t="shared" si="1"/>
        <v>4000</v>
      </c>
      <c r="F14" s="11">
        <f t="shared" si="0"/>
        <v>1.0101010101010102E-2</v>
      </c>
      <c r="G14" s="2" t="s">
        <v>83</v>
      </c>
      <c r="H14" s="2" t="s">
        <v>111</v>
      </c>
      <c r="I14" s="2" t="s">
        <v>115</v>
      </c>
      <c r="J14" s="2">
        <v>0</v>
      </c>
      <c r="K14" s="2" t="s">
        <v>116</v>
      </c>
    </row>
    <row r="15" spans="1:11" ht="39.950000000000003" customHeight="1" x14ac:dyDescent="0.25">
      <c r="A15" s="9" t="s">
        <v>117</v>
      </c>
      <c r="B15" s="9" t="s">
        <v>96</v>
      </c>
      <c r="C15" s="9">
        <f>SUM(C8:C14)</f>
        <v>7688000</v>
      </c>
      <c r="D15" s="9">
        <f>SUM(D8:D14)</f>
        <v>7912000</v>
      </c>
      <c r="E15" s="9">
        <f t="shared" si="1"/>
        <v>224000</v>
      </c>
      <c r="F15" s="13">
        <f t="shared" si="0"/>
        <v>2.9136316337148804E-2</v>
      </c>
      <c r="G15" s="9" t="s">
        <v>101</v>
      </c>
      <c r="H15" s="9" t="s">
        <v>94</v>
      </c>
      <c r="I15" s="9"/>
      <c r="J15" s="9">
        <v>0</v>
      </c>
      <c r="K15" s="9" t="s">
        <v>267</v>
      </c>
    </row>
    <row r="16" spans="1:11" ht="39.950000000000003" customHeight="1" x14ac:dyDescent="0.25">
      <c r="A16" s="2" t="s">
        <v>52</v>
      </c>
      <c r="B16" s="2" t="s">
        <v>118</v>
      </c>
      <c r="C16" s="2">
        <v>-45000</v>
      </c>
      <c r="D16" s="2">
        <v>-67000</v>
      </c>
      <c r="E16" s="2">
        <f t="shared" si="1"/>
        <v>-22000</v>
      </c>
      <c r="F16" s="11">
        <f t="shared" si="0"/>
        <v>0.48888888888888887</v>
      </c>
      <c r="G16" s="2" t="s">
        <v>83</v>
      </c>
      <c r="H16" s="2" t="s">
        <v>119</v>
      </c>
      <c r="I16" s="2" t="s">
        <v>120</v>
      </c>
      <c r="J16" s="2">
        <v>-22000</v>
      </c>
      <c r="K16" s="2" t="s">
        <v>121</v>
      </c>
    </row>
    <row r="17" spans="1:11" ht="39.950000000000003" customHeight="1" x14ac:dyDescent="0.25">
      <c r="A17" s="3" t="s">
        <v>122</v>
      </c>
      <c r="B17" s="3" t="s">
        <v>118</v>
      </c>
      <c r="C17" s="3">
        <v>0</v>
      </c>
      <c r="D17" s="3">
        <v>-12000</v>
      </c>
      <c r="E17" s="3">
        <f t="shared" si="1"/>
        <v>-12000</v>
      </c>
      <c r="F17" s="12">
        <f t="shared" si="0"/>
        <v>0</v>
      </c>
      <c r="G17" s="3" t="s">
        <v>83</v>
      </c>
      <c r="H17" s="3" t="s">
        <v>123</v>
      </c>
      <c r="I17" s="3" t="s">
        <v>124</v>
      </c>
      <c r="J17" s="3">
        <v>0</v>
      </c>
      <c r="K17" s="3" t="s">
        <v>279</v>
      </c>
    </row>
    <row r="18" spans="1:11" ht="71.25" customHeight="1" x14ac:dyDescent="0.25">
      <c r="A18" s="9" t="s">
        <v>125</v>
      </c>
      <c r="B18" s="9" t="s">
        <v>126</v>
      </c>
      <c r="C18" s="9">
        <f>C7-C15+C16+C17</f>
        <v>-1183000</v>
      </c>
      <c r="D18" s="9">
        <f>D7-D15+D16+D17</f>
        <v>-1361000</v>
      </c>
      <c r="E18" s="9">
        <f t="shared" si="1"/>
        <v>-178000</v>
      </c>
      <c r="F18" s="13">
        <f t="shared" si="0"/>
        <v>0.15046491969568893</v>
      </c>
      <c r="G18" s="9" t="s">
        <v>83</v>
      </c>
      <c r="H18" s="9" t="s">
        <v>94</v>
      </c>
      <c r="I18" s="9"/>
      <c r="J18" s="9">
        <v>-22000</v>
      </c>
      <c r="K18" s="9" t="s">
        <v>268</v>
      </c>
    </row>
  </sheetData>
  <mergeCells count="2">
    <mergeCell ref="A2:K2"/>
    <mergeCell ref="A1:K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33"/>
  <sheetViews>
    <sheetView workbookViewId="0">
      <pane ySplit="3" topLeftCell="A4" activePane="bottomLeft" state="frozen"/>
      <selection pane="bottomLeft" activeCell="A3" sqref="A3"/>
    </sheetView>
  </sheetViews>
  <sheetFormatPr defaultRowHeight="15" x14ac:dyDescent="0.25"/>
  <cols>
    <col min="1" max="1" width="12" customWidth="1"/>
    <col min="2" max="2" width="35" customWidth="1"/>
    <col min="3" max="3" width="12" customWidth="1"/>
    <col min="4" max="7" width="16" customWidth="1"/>
    <col min="8" max="8" width="22" customWidth="1"/>
    <col min="9" max="9" width="58" customWidth="1"/>
  </cols>
  <sheetData>
    <row r="1" spans="1:9" ht="21.95" customHeight="1" x14ac:dyDescent="0.25">
      <c r="A1" s="17" t="s">
        <v>280</v>
      </c>
      <c r="B1" s="18"/>
      <c r="C1" s="18"/>
      <c r="D1" s="18"/>
      <c r="E1" s="18"/>
      <c r="F1" s="18"/>
      <c r="G1" s="18"/>
      <c r="H1" s="18"/>
      <c r="I1" s="18"/>
    </row>
    <row r="2" spans="1:9" x14ac:dyDescent="0.25">
      <c r="A2" s="19" t="s">
        <v>281</v>
      </c>
      <c r="B2" s="18"/>
      <c r="C2" s="18"/>
      <c r="D2" s="18"/>
      <c r="E2" s="18"/>
      <c r="F2" s="18"/>
      <c r="G2" s="18"/>
      <c r="H2" s="18"/>
      <c r="I2" s="18"/>
    </row>
    <row r="3" spans="1:9" ht="30" customHeight="1" x14ac:dyDescent="0.25">
      <c r="A3" s="1" t="s">
        <v>0</v>
      </c>
      <c r="B3" s="1" t="s">
        <v>1</v>
      </c>
      <c r="C3" s="1" t="s">
        <v>127</v>
      </c>
      <c r="D3" s="1" t="s">
        <v>128</v>
      </c>
      <c r="E3" s="1" t="s">
        <v>129</v>
      </c>
      <c r="F3" s="1" t="s">
        <v>130</v>
      </c>
      <c r="G3" s="1" t="s">
        <v>131</v>
      </c>
      <c r="H3" s="1" t="s">
        <v>132</v>
      </c>
      <c r="I3" s="1" t="s">
        <v>133</v>
      </c>
    </row>
    <row r="4" spans="1:9" ht="35.1" customHeight="1" x14ac:dyDescent="0.25">
      <c r="A4" s="2" t="s">
        <v>134</v>
      </c>
      <c r="B4" s="2" t="s">
        <v>135</v>
      </c>
      <c r="C4" s="2" t="s">
        <v>136</v>
      </c>
      <c r="D4" s="2">
        <v>2840000</v>
      </c>
      <c r="E4" s="2">
        <v>2763000</v>
      </c>
      <c r="F4" s="2" t="s">
        <v>137</v>
      </c>
      <c r="G4" s="2" t="s">
        <v>83</v>
      </c>
      <c r="H4" s="2" t="s">
        <v>138</v>
      </c>
      <c r="I4" s="2" t="s">
        <v>139</v>
      </c>
    </row>
    <row r="5" spans="1:9" ht="35.1" customHeight="1" x14ac:dyDescent="0.25">
      <c r="A5" s="3" t="s">
        <v>140</v>
      </c>
      <c r="B5" s="3" t="s">
        <v>141</v>
      </c>
      <c r="C5" s="3" t="s">
        <v>136</v>
      </c>
      <c r="D5" s="3">
        <v>412000</v>
      </c>
      <c r="E5" s="3">
        <v>387000</v>
      </c>
      <c r="F5" s="3" t="s">
        <v>137</v>
      </c>
      <c r="G5" s="3" t="s">
        <v>83</v>
      </c>
      <c r="H5" s="3" t="s">
        <v>138</v>
      </c>
      <c r="I5" s="3" t="s">
        <v>282</v>
      </c>
    </row>
    <row r="6" spans="1:9" ht="35.1" customHeight="1" x14ac:dyDescent="0.25">
      <c r="A6" s="2" t="s">
        <v>142</v>
      </c>
      <c r="B6" s="2" t="s">
        <v>143</v>
      </c>
      <c r="C6" s="2" t="s">
        <v>136</v>
      </c>
      <c r="D6" s="2">
        <v>94000</v>
      </c>
      <c r="E6" s="2">
        <v>91000</v>
      </c>
      <c r="F6" s="2" t="s">
        <v>137</v>
      </c>
      <c r="G6" s="2" t="s">
        <v>83</v>
      </c>
      <c r="H6" s="2" t="s">
        <v>138</v>
      </c>
      <c r="I6" s="2" t="s">
        <v>144</v>
      </c>
    </row>
    <row r="7" spans="1:9" ht="35.1" customHeight="1" x14ac:dyDescent="0.25">
      <c r="A7" s="3" t="s">
        <v>145</v>
      </c>
      <c r="B7" s="3" t="s">
        <v>146</v>
      </c>
      <c r="C7" s="3" t="s">
        <v>147</v>
      </c>
      <c r="D7" s="3">
        <v>-312000</v>
      </c>
      <c r="E7" s="3">
        <v>-318000</v>
      </c>
      <c r="F7" s="3" t="s">
        <v>137</v>
      </c>
      <c r="G7" s="3" t="s">
        <v>83</v>
      </c>
      <c r="H7" s="3" t="s">
        <v>138</v>
      </c>
      <c r="I7" s="3" t="s">
        <v>148</v>
      </c>
    </row>
    <row r="8" spans="1:9" ht="35.1" customHeight="1" x14ac:dyDescent="0.25">
      <c r="A8" s="2" t="s">
        <v>149</v>
      </c>
      <c r="B8" s="2" t="s">
        <v>150</v>
      </c>
      <c r="C8" s="2" t="s">
        <v>136</v>
      </c>
      <c r="D8" s="2">
        <v>0</v>
      </c>
      <c r="E8" s="2">
        <v>0</v>
      </c>
      <c r="F8" s="2" t="s">
        <v>83</v>
      </c>
      <c r="G8" s="2" t="s">
        <v>138</v>
      </c>
      <c r="H8" s="2" t="s">
        <v>138</v>
      </c>
      <c r="I8" s="2" t="s">
        <v>283</v>
      </c>
    </row>
    <row r="9" spans="1:9" ht="35.1" customHeight="1" x14ac:dyDescent="0.25">
      <c r="A9" s="3" t="s">
        <v>151</v>
      </c>
      <c r="B9" s="3" t="s">
        <v>152</v>
      </c>
      <c r="C9" s="3" t="s">
        <v>147</v>
      </c>
      <c r="D9" s="3">
        <v>-1240000</v>
      </c>
      <c r="E9" s="3">
        <v>-1198000</v>
      </c>
      <c r="F9" s="3" t="s">
        <v>137</v>
      </c>
      <c r="G9" s="3" t="s">
        <v>83</v>
      </c>
      <c r="H9" s="3" t="s">
        <v>138</v>
      </c>
      <c r="I9" s="3" t="s">
        <v>284</v>
      </c>
    </row>
    <row r="10" spans="1:9" ht="35.1" customHeight="1" x14ac:dyDescent="0.25">
      <c r="A10" s="2" t="s">
        <v>153</v>
      </c>
      <c r="B10" s="2" t="s">
        <v>154</v>
      </c>
      <c r="C10" s="2" t="s">
        <v>147</v>
      </c>
      <c r="D10" s="2">
        <v>-687000</v>
      </c>
      <c r="E10" s="2">
        <v>-642000</v>
      </c>
      <c r="F10" s="2" t="s">
        <v>137</v>
      </c>
      <c r="G10" s="2" t="s">
        <v>83</v>
      </c>
      <c r="H10" s="2" t="s">
        <v>138</v>
      </c>
      <c r="I10" s="2" t="s">
        <v>155</v>
      </c>
    </row>
    <row r="11" spans="1:9" ht="35.1" customHeight="1" x14ac:dyDescent="0.25">
      <c r="A11" s="3" t="s">
        <v>156</v>
      </c>
      <c r="B11" s="3" t="s">
        <v>157</v>
      </c>
      <c r="C11" s="3" t="s">
        <v>147</v>
      </c>
      <c r="D11" s="3">
        <v>-412000</v>
      </c>
      <c r="E11" s="3">
        <v>-418000</v>
      </c>
      <c r="F11" s="3" t="s">
        <v>137</v>
      </c>
      <c r="G11" s="3" t="s">
        <v>83</v>
      </c>
      <c r="H11" s="3" t="s">
        <v>138</v>
      </c>
      <c r="I11" s="3" t="s">
        <v>158</v>
      </c>
    </row>
    <row r="12" spans="1:9" ht="35.1" customHeight="1" x14ac:dyDescent="0.25">
      <c r="A12" s="2" t="s">
        <v>159</v>
      </c>
      <c r="B12" s="2" t="s">
        <v>160</v>
      </c>
      <c r="C12" s="2" t="s">
        <v>147</v>
      </c>
      <c r="D12" s="2">
        <v>-892000</v>
      </c>
      <c r="E12" s="2">
        <v>-1204000</v>
      </c>
      <c r="F12" s="2" t="s">
        <v>137</v>
      </c>
      <c r="G12" s="2" t="s">
        <v>83</v>
      </c>
      <c r="H12" s="2" t="s">
        <v>138</v>
      </c>
      <c r="I12" s="2" t="s">
        <v>285</v>
      </c>
    </row>
    <row r="13" spans="1:9" ht="35.1" customHeight="1" x14ac:dyDescent="0.25">
      <c r="A13" s="3" t="s">
        <v>161</v>
      </c>
      <c r="B13" s="3" t="s">
        <v>162</v>
      </c>
      <c r="C13" s="3" t="s">
        <v>147</v>
      </c>
      <c r="D13" s="3">
        <v>-156000</v>
      </c>
      <c r="E13" s="3">
        <v>-174000</v>
      </c>
      <c r="F13" s="3" t="s">
        <v>137</v>
      </c>
      <c r="G13" s="3" t="s">
        <v>83</v>
      </c>
      <c r="H13" s="3" t="s">
        <v>138</v>
      </c>
      <c r="I13" s="3" t="s">
        <v>163</v>
      </c>
    </row>
    <row r="14" spans="1:9" ht="35.1" customHeight="1" x14ac:dyDescent="0.25">
      <c r="A14" s="4" t="s">
        <v>164</v>
      </c>
      <c r="B14" s="4" t="s">
        <v>165</v>
      </c>
      <c r="C14" s="4" t="s">
        <v>147</v>
      </c>
      <c r="D14" s="4">
        <v>-45000</v>
      </c>
      <c r="E14" s="4">
        <v>0</v>
      </c>
      <c r="F14" s="4" t="s">
        <v>137</v>
      </c>
      <c r="G14" s="4" t="s">
        <v>166</v>
      </c>
      <c r="H14" s="4" t="s">
        <v>286</v>
      </c>
      <c r="I14" s="4" t="s">
        <v>287</v>
      </c>
    </row>
    <row r="15" spans="1:9" ht="35.1" customHeight="1" x14ac:dyDescent="0.25">
      <c r="A15" s="3" t="s">
        <v>167</v>
      </c>
      <c r="B15" s="3" t="s">
        <v>168</v>
      </c>
      <c r="C15" s="3" t="s">
        <v>147</v>
      </c>
      <c r="D15" s="3">
        <v>-22000</v>
      </c>
      <c r="E15" s="3">
        <v>-22000</v>
      </c>
      <c r="F15" s="3" t="s">
        <v>137</v>
      </c>
      <c r="G15" s="3" t="s">
        <v>83</v>
      </c>
      <c r="H15" s="3" t="s">
        <v>138</v>
      </c>
      <c r="I15" s="3" t="s">
        <v>288</v>
      </c>
    </row>
    <row r="16" spans="1:9" ht="35.1" customHeight="1" x14ac:dyDescent="0.25">
      <c r="A16" s="2" t="s">
        <v>169</v>
      </c>
      <c r="B16" s="2" t="s">
        <v>170</v>
      </c>
      <c r="C16" s="2" t="s">
        <v>171</v>
      </c>
      <c r="D16" s="2">
        <v>-2000000</v>
      </c>
      <c r="E16" s="2">
        <v>-2000000</v>
      </c>
      <c r="F16" s="2" t="s">
        <v>83</v>
      </c>
      <c r="G16" s="2" t="s">
        <v>138</v>
      </c>
      <c r="H16" s="2" t="s">
        <v>138</v>
      </c>
      <c r="I16" s="2" t="s">
        <v>172</v>
      </c>
    </row>
    <row r="17" spans="1:9" ht="35.1" customHeight="1" x14ac:dyDescent="0.25">
      <c r="A17" s="3" t="s">
        <v>173</v>
      </c>
      <c r="B17" s="3" t="s">
        <v>174</v>
      </c>
      <c r="C17" s="3" t="s">
        <v>171</v>
      </c>
      <c r="D17" s="3">
        <v>-8420000</v>
      </c>
      <c r="E17" s="3">
        <v>-8420000</v>
      </c>
      <c r="F17" s="3" t="s">
        <v>83</v>
      </c>
      <c r="G17" s="3" t="s">
        <v>138</v>
      </c>
      <c r="H17" s="3" t="s">
        <v>138</v>
      </c>
      <c r="I17" s="3" t="s">
        <v>175</v>
      </c>
    </row>
    <row r="18" spans="1:9" ht="35.1" customHeight="1" x14ac:dyDescent="0.25">
      <c r="A18" s="2" t="s">
        <v>176</v>
      </c>
      <c r="B18" s="2" t="s">
        <v>81</v>
      </c>
      <c r="C18" s="2" t="s">
        <v>177</v>
      </c>
      <c r="D18" s="2">
        <v>-3980000</v>
      </c>
      <c r="E18" s="2">
        <v>-4178000</v>
      </c>
      <c r="F18" s="2" t="s">
        <v>137</v>
      </c>
      <c r="G18" s="2" t="s">
        <v>83</v>
      </c>
      <c r="H18" s="2" t="s">
        <v>138</v>
      </c>
      <c r="I18" s="2" t="s">
        <v>178</v>
      </c>
    </row>
    <row r="19" spans="1:9" ht="35.1" customHeight="1" x14ac:dyDescent="0.25">
      <c r="A19" s="3" t="s">
        <v>38</v>
      </c>
      <c r="B19" s="3" t="s">
        <v>87</v>
      </c>
      <c r="C19" s="3" t="s">
        <v>177</v>
      </c>
      <c r="D19" s="3">
        <v>-1740000</v>
      </c>
      <c r="E19" s="3">
        <v>-1764000</v>
      </c>
      <c r="F19" s="3" t="s">
        <v>137</v>
      </c>
      <c r="G19" s="3" t="s">
        <v>83</v>
      </c>
      <c r="H19" s="3" t="s">
        <v>138</v>
      </c>
      <c r="I19" s="3" t="s">
        <v>179</v>
      </c>
    </row>
    <row r="20" spans="1:9" ht="35.1" customHeight="1" x14ac:dyDescent="0.25">
      <c r="A20" s="2" t="s">
        <v>180</v>
      </c>
      <c r="B20" s="2" t="s">
        <v>181</v>
      </c>
      <c r="C20" s="2" t="s">
        <v>177</v>
      </c>
      <c r="D20" s="2">
        <v>1820000</v>
      </c>
      <c r="E20" s="2">
        <v>1876000</v>
      </c>
      <c r="F20" s="2" t="s">
        <v>137</v>
      </c>
      <c r="G20" s="2" t="s">
        <v>83</v>
      </c>
      <c r="H20" s="2" t="s">
        <v>138</v>
      </c>
      <c r="I20" s="2" t="s">
        <v>182</v>
      </c>
    </row>
    <row r="21" spans="1:9" ht="35.1" customHeight="1" x14ac:dyDescent="0.25">
      <c r="A21" s="3" t="s">
        <v>10</v>
      </c>
      <c r="B21" s="3" t="s">
        <v>11</v>
      </c>
      <c r="C21" s="3" t="s">
        <v>177</v>
      </c>
      <c r="D21" s="3">
        <v>5540000</v>
      </c>
      <c r="E21" s="3">
        <v>5612000</v>
      </c>
      <c r="F21" s="3" t="s">
        <v>137</v>
      </c>
      <c r="G21" s="3" t="s">
        <v>83</v>
      </c>
      <c r="H21" s="3" t="s">
        <v>138</v>
      </c>
      <c r="I21" s="3" t="s">
        <v>183</v>
      </c>
    </row>
    <row r="22" spans="1:9" ht="35.1" customHeight="1" x14ac:dyDescent="0.25">
      <c r="A22" s="4" t="s">
        <v>22</v>
      </c>
      <c r="B22" s="4" t="s">
        <v>23</v>
      </c>
      <c r="C22" s="4" t="s">
        <v>177</v>
      </c>
      <c r="D22" s="4">
        <v>28000</v>
      </c>
      <c r="E22" s="4">
        <v>0</v>
      </c>
      <c r="F22" s="4" t="s">
        <v>137</v>
      </c>
      <c r="G22" s="4" t="s">
        <v>166</v>
      </c>
      <c r="H22" s="4" t="s">
        <v>286</v>
      </c>
      <c r="I22" s="4" t="s">
        <v>289</v>
      </c>
    </row>
    <row r="23" spans="1:9" ht="35.1" customHeight="1" x14ac:dyDescent="0.25">
      <c r="A23" s="4" t="s">
        <v>41</v>
      </c>
      <c r="B23" s="4" t="s">
        <v>42</v>
      </c>
      <c r="C23" s="4" t="s">
        <v>177</v>
      </c>
      <c r="D23" s="4">
        <v>12000</v>
      </c>
      <c r="E23" s="4">
        <v>0</v>
      </c>
      <c r="F23" s="4" t="s">
        <v>137</v>
      </c>
      <c r="G23" s="4" t="s">
        <v>166</v>
      </c>
      <c r="H23" s="4" t="s">
        <v>286</v>
      </c>
      <c r="I23" s="4" t="s">
        <v>184</v>
      </c>
    </row>
    <row r="24" spans="1:9" ht="35.1" customHeight="1" x14ac:dyDescent="0.25">
      <c r="A24" s="2" t="s">
        <v>51</v>
      </c>
      <c r="B24" s="2" t="s">
        <v>52</v>
      </c>
      <c r="C24" s="2" t="s">
        <v>177</v>
      </c>
      <c r="D24" s="2">
        <v>-18000</v>
      </c>
      <c r="E24" s="2">
        <v>-24000</v>
      </c>
      <c r="F24" s="2" t="s">
        <v>137</v>
      </c>
      <c r="G24" s="2" t="s">
        <v>83</v>
      </c>
      <c r="H24" s="2" t="s">
        <v>138</v>
      </c>
      <c r="I24" s="2" t="s">
        <v>290</v>
      </c>
    </row>
    <row r="25" spans="1:9" ht="35.1" customHeight="1" x14ac:dyDescent="0.25">
      <c r="A25" s="3" t="s">
        <v>55</v>
      </c>
      <c r="B25" s="3" t="s">
        <v>56</v>
      </c>
      <c r="C25" s="3" t="s">
        <v>177</v>
      </c>
      <c r="D25" s="3">
        <v>5000</v>
      </c>
      <c r="E25" s="3">
        <v>5000</v>
      </c>
      <c r="F25" s="3" t="s">
        <v>137</v>
      </c>
      <c r="G25" s="3" t="s">
        <v>83</v>
      </c>
      <c r="H25" s="3" t="s">
        <v>138</v>
      </c>
      <c r="I25" s="3" t="s">
        <v>185</v>
      </c>
    </row>
    <row r="26" spans="1:9" ht="35.1" customHeight="1" x14ac:dyDescent="0.25">
      <c r="A26" s="2" t="s">
        <v>61</v>
      </c>
      <c r="B26" s="2" t="s">
        <v>46</v>
      </c>
      <c r="C26" s="2" t="s">
        <v>177</v>
      </c>
      <c r="D26" s="2">
        <v>22000</v>
      </c>
      <c r="E26" s="2">
        <v>22000</v>
      </c>
      <c r="F26" s="2" t="s">
        <v>137</v>
      </c>
      <c r="G26" s="2" t="s">
        <v>83</v>
      </c>
      <c r="H26" s="2" t="s">
        <v>138</v>
      </c>
      <c r="I26" s="2" t="s">
        <v>186</v>
      </c>
    </row>
    <row r="27" spans="1:9" ht="35.1" customHeight="1" x14ac:dyDescent="0.25">
      <c r="A27" s="3" t="s">
        <v>187</v>
      </c>
      <c r="B27" s="3" t="s">
        <v>50</v>
      </c>
      <c r="C27" s="3" t="s">
        <v>177</v>
      </c>
      <c r="D27" s="3">
        <v>11000</v>
      </c>
      <c r="E27" s="3">
        <v>11000</v>
      </c>
      <c r="F27" s="3" t="s">
        <v>137</v>
      </c>
      <c r="G27" s="3" t="s">
        <v>83</v>
      </c>
      <c r="H27" s="3" t="s">
        <v>138</v>
      </c>
      <c r="I27" s="3" t="s">
        <v>188</v>
      </c>
    </row>
    <row r="29" spans="1:9" x14ac:dyDescent="0.25">
      <c r="A29" s="6" t="s">
        <v>65</v>
      </c>
      <c r="B29" s="7"/>
      <c r="C29" s="7"/>
      <c r="D29" s="7"/>
      <c r="E29" s="7"/>
      <c r="F29" s="7"/>
      <c r="G29" s="7"/>
      <c r="H29" s="7"/>
      <c r="I29" s="7"/>
    </row>
    <row r="30" spans="1:9" x14ac:dyDescent="0.25">
      <c r="A30" s="6" t="s">
        <v>189</v>
      </c>
      <c r="B30" s="7">
        <v>24</v>
      </c>
      <c r="C30" s="7"/>
      <c r="D30" s="7"/>
      <c r="E30" s="7"/>
      <c r="F30" s="7"/>
      <c r="G30" s="7"/>
      <c r="H30" s="7"/>
      <c r="I30" s="7"/>
    </row>
    <row r="31" spans="1:9" x14ac:dyDescent="0.25">
      <c r="A31" s="6" t="s">
        <v>190</v>
      </c>
      <c r="B31" s="7">
        <v>3</v>
      </c>
      <c r="C31" s="7"/>
      <c r="D31" s="7"/>
      <c r="E31" s="7"/>
      <c r="F31" s="7"/>
      <c r="G31" s="7"/>
      <c r="H31" s="7"/>
      <c r="I31" s="7"/>
    </row>
    <row r="32" spans="1:9" x14ac:dyDescent="0.25">
      <c r="A32" s="6" t="s">
        <v>191</v>
      </c>
      <c r="B32" s="7">
        <v>3</v>
      </c>
      <c r="C32" s="7"/>
      <c r="D32" s="7"/>
      <c r="E32" s="7"/>
      <c r="F32" s="7"/>
      <c r="G32" s="7"/>
      <c r="H32" s="7"/>
      <c r="I32" s="7"/>
    </row>
    <row r="33" spans="1:9" ht="50.1" customHeight="1" x14ac:dyDescent="0.25">
      <c r="A33" s="6" t="s">
        <v>68</v>
      </c>
      <c r="B33" s="8" t="s">
        <v>192</v>
      </c>
      <c r="C33" s="7"/>
      <c r="D33" s="7"/>
      <c r="E33" s="7"/>
      <c r="F33" s="7"/>
      <c r="G33" s="7"/>
      <c r="H33" s="7"/>
      <c r="I33" s="7"/>
    </row>
  </sheetData>
  <mergeCells count="2">
    <mergeCell ref="A1:I1"/>
    <mergeCell ref="A2:I2"/>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9"/>
  <sheetViews>
    <sheetView workbookViewId="0">
      <pane ySplit="4" topLeftCell="A11" activePane="bottomLeft" state="frozen"/>
      <selection pane="bottomLeft" activeCell="A19" sqref="A19"/>
    </sheetView>
  </sheetViews>
  <sheetFormatPr defaultRowHeight="15" x14ac:dyDescent="0.25"/>
  <cols>
    <col min="1" max="1" width="14" customWidth="1"/>
    <col min="2" max="2" width="18" customWidth="1"/>
    <col min="3" max="3" width="36" customWidth="1"/>
    <col min="4" max="4" width="30" customWidth="1"/>
    <col min="5" max="5" width="14" customWidth="1"/>
    <col min="6" max="6" width="22" customWidth="1"/>
    <col min="7" max="7" width="60" customWidth="1"/>
  </cols>
  <sheetData>
    <row r="1" spans="1:7" ht="21.95" customHeight="1" x14ac:dyDescent="0.25">
      <c r="A1" s="17" t="s">
        <v>291</v>
      </c>
      <c r="B1" s="18"/>
      <c r="C1" s="18"/>
      <c r="D1" s="18"/>
      <c r="E1" s="18"/>
      <c r="F1" s="18"/>
      <c r="G1" s="18"/>
    </row>
    <row r="2" spans="1:7" x14ac:dyDescent="0.25">
      <c r="A2" s="19" t="s">
        <v>292</v>
      </c>
      <c r="B2" s="18"/>
      <c r="C2" s="18"/>
      <c r="D2" s="18"/>
      <c r="E2" s="18"/>
      <c r="F2" s="18"/>
      <c r="G2" s="18"/>
    </row>
    <row r="3" spans="1:7" x14ac:dyDescent="0.25">
      <c r="A3" s="20" t="s">
        <v>293</v>
      </c>
      <c r="B3" s="18"/>
      <c r="C3" s="18"/>
      <c r="D3" s="18"/>
      <c r="E3" s="18"/>
      <c r="F3" s="18"/>
      <c r="G3" s="18"/>
    </row>
    <row r="4" spans="1:7" ht="24.95" customHeight="1" x14ac:dyDescent="0.25">
      <c r="A4" s="1" t="s">
        <v>193</v>
      </c>
      <c r="B4" s="1" t="s">
        <v>194</v>
      </c>
      <c r="C4" s="1" t="s">
        <v>195</v>
      </c>
    </row>
    <row r="5" spans="1:7" ht="47.25" customHeight="1" x14ac:dyDescent="0.25">
      <c r="A5" s="3" t="s">
        <v>196</v>
      </c>
      <c r="B5" s="3" t="s">
        <v>82</v>
      </c>
      <c r="C5" s="3" t="s">
        <v>197</v>
      </c>
    </row>
    <row r="6" spans="1:7" ht="45" customHeight="1" x14ac:dyDescent="0.25">
      <c r="A6" s="2" t="s">
        <v>198</v>
      </c>
      <c r="B6" s="2" t="s">
        <v>199</v>
      </c>
      <c r="C6" s="2" t="s">
        <v>200</v>
      </c>
    </row>
    <row r="7" spans="1:7" ht="45" customHeight="1" x14ac:dyDescent="0.25">
      <c r="A7" s="3" t="s">
        <v>201</v>
      </c>
      <c r="B7" s="3" t="s">
        <v>202</v>
      </c>
      <c r="C7" s="3" t="s">
        <v>203</v>
      </c>
    </row>
    <row r="8" spans="1:7" ht="45" customHeight="1" x14ac:dyDescent="0.25">
      <c r="A8" s="2" t="s">
        <v>204</v>
      </c>
      <c r="B8" s="2" t="s">
        <v>205</v>
      </c>
      <c r="C8" s="2" t="s">
        <v>206</v>
      </c>
    </row>
    <row r="9" spans="1:7" ht="45" customHeight="1" x14ac:dyDescent="0.25">
      <c r="A9" s="3" t="s">
        <v>207</v>
      </c>
      <c r="B9" s="3" t="s">
        <v>119</v>
      </c>
      <c r="C9" s="3" t="s">
        <v>208</v>
      </c>
    </row>
    <row r="10" spans="1:7" ht="45" customHeight="1" x14ac:dyDescent="0.25">
      <c r="A10" s="2" t="s">
        <v>209</v>
      </c>
      <c r="B10" s="2" t="s">
        <v>125</v>
      </c>
      <c r="C10" s="2" t="s">
        <v>210</v>
      </c>
    </row>
    <row r="12" spans="1:7" x14ac:dyDescent="0.25">
      <c r="A12" s="20" t="s">
        <v>294</v>
      </c>
      <c r="B12" s="18"/>
      <c r="C12" s="18"/>
      <c r="D12" s="18"/>
      <c r="E12" s="18"/>
      <c r="F12" s="18"/>
      <c r="G12" s="18"/>
    </row>
    <row r="13" spans="1:7" ht="30" customHeight="1" x14ac:dyDescent="0.25">
      <c r="A13" s="1" t="s">
        <v>211</v>
      </c>
      <c r="B13" s="1" t="s">
        <v>194</v>
      </c>
      <c r="C13" s="1" t="s">
        <v>212</v>
      </c>
      <c r="D13" s="1" t="s">
        <v>213</v>
      </c>
      <c r="E13" s="1" t="s">
        <v>74</v>
      </c>
      <c r="F13" s="1" t="s">
        <v>214</v>
      </c>
      <c r="G13" s="1" t="s">
        <v>215</v>
      </c>
    </row>
    <row r="14" spans="1:7" ht="69.95" customHeight="1" x14ac:dyDescent="0.25">
      <c r="A14" s="5" t="s">
        <v>196</v>
      </c>
      <c r="B14" s="5" t="s">
        <v>82</v>
      </c>
      <c r="C14" s="5" t="s">
        <v>216</v>
      </c>
      <c r="D14" s="5" t="s">
        <v>217</v>
      </c>
      <c r="E14" s="5" t="s">
        <v>218</v>
      </c>
      <c r="F14" s="5" t="s">
        <v>219</v>
      </c>
      <c r="G14" s="5" t="s">
        <v>220</v>
      </c>
    </row>
    <row r="15" spans="1:7" ht="69.95" customHeight="1" x14ac:dyDescent="0.25">
      <c r="A15" s="4" t="s">
        <v>198</v>
      </c>
      <c r="B15" s="4" t="s">
        <v>221</v>
      </c>
      <c r="C15" s="4" t="s">
        <v>295</v>
      </c>
      <c r="D15" s="4" t="s">
        <v>222</v>
      </c>
      <c r="E15" s="4" t="s">
        <v>223</v>
      </c>
      <c r="F15" s="4" t="s">
        <v>296</v>
      </c>
      <c r="G15" s="4" t="s">
        <v>224</v>
      </c>
    </row>
    <row r="16" spans="1:7" ht="69.95" customHeight="1" x14ac:dyDescent="0.25">
      <c r="A16" s="5" t="s">
        <v>201</v>
      </c>
      <c r="B16" s="5" t="s">
        <v>11</v>
      </c>
      <c r="C16" s="5" t="s">
        <v>225</v>
      </c>
      <c r="D16" s="5" t="s">
        <v>226</v>
      </c>
      <c r="E16" s="5" t="s">
        <v>227</v>
      </c>
      <c r="F16" s="5" t="s">
        <v>219</v>
      </c>
      <c r="G16" s="5" t="s">
        <v>297</v>
      </c>
    </row>
    <row r="17" spans="1:7" ht="69.95" customHeight="1" x14ac:dyDescent="0.25">
      <c r="A17" s="10" t="s">
        <v>204</v>
      </c>
      <c r="B17" s="10" t="s">
        <v>205</v>
      </c>
      <c r="C17" s="10" t="s">
        <v>228</v>
      </c>
      <c r="D17" s="10" t="s">
        <v>229</v>
      </c>
      <c r="E17" s="10" t="s">
        <v>230</v>
      </c>
      <c r="F17" s="10" t="s">
        <v>231</v>
      </c>
      <c r="G17" s="10" t="s">
        <v>232</v>
      </c>
    </row>
    <row r="18" spans="1:7" ht="69.95" customHeight="1" x14ac:dyDescent="0.25">
      <c r="A18" s="5" t="s">
        <v>207</v>
      </c>
      <c r="B18" s="5" t="s">
        <v>52</v>
      </c>
      <c r="C18" s="5" t="s">
        <v>233</v>
      </c>
      <c r="D18" s="5" t="s">
        <v>234</v>
      </c>
      <c r="E18" s="5" t="s">
        <v>235</v>
      </c>
      <c r="F18" s="5" t="s">
        <v>219</v>
      </c>
      <c r="G18" s="5" t="s">
        <v>309</v>
      </c>
    </row>
    <row r="19" spans="1:7" ht="87" customHeight="1" x14ac:dyDescent="0.25">
      <c r="A19" s="5" t="s">
        <v>209</v>
      </c>
      <c r="B19" s="5" t="s">
        <v>125</v>
      </c>
      <c r="C19" s="5" t="s">
        <v>311</v>
      </c>
      <c r="D19" s="5" t="s">
        <v>236</v>
      </c>
      <c r="E19" s="5" t="s">
        <v>312</v>
      </c>
      <c r="F19" s="5" t="s">
        <v>219</v>
      </c>
      <c r="G19" s="15" t="s">
        <v>308</v>
      </c>
    </row>
  </sheetData>
  <mergeCells count="4">
    <mergeCell ref="A3:G3"/>
    <mergeCell ref="A2:G2"/>
    <mergeCell ref="A1:G1"/>
    <mergeCell ref="A12:G12"/>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33"/>
  <sheetViews>
    <sheetView workbookViewId="0">
      <pane ySplit="3" topLeftCell="A4" activePane="bottomLeft" state="frozen"/>
      <selection pane="bottomLeft" sqref="A1:K1"/>
    </sheetView>
  </sheetViews>
  <sheetFormatPr defaultRowHeight="15" x14ac:dyDescent="0.25"/>
  <cols>
    <col min="1" max="2" width="22" customWidth="1"/>
    <col min="3" max="3" width="16" customWidth="1"/>
    <col min="4" max="5" width="14" customWidth="1"/>
    <col min="6" max="7" width="12" customWidth="1"/>
    <col min="8" max="8" width="16" customWidth="1"/>
    <col min="9" max="9" width="18" customWidth="1"/>
    <col min="10" max="10" width="10" customWidth="1"/>
    <col min="11" max="11" width="58" customWidth="1"/>
  </cols>
  <sheetData>
    <row r="1" spans="1:11" ht="21.95" customHeight="1" x14ac:dyDescent="0.25">
      <c r="A1" s="17" t="s">
        <v>298</v>
      </c>
      <c r="B1" s="18"/>
      <c r="C1" s="18"/>
      <c r="D1" s="18"/>
      <c r="E1" s="18"/>
      <c r="F1" s="18"/>
      <c r="G1" s="18"/>
      <c r="H1" s="18"/>
      <c r="I1" s="18"/>
      <c r="J1" s="18"/>
      <c r="K1" s="18"/>
    </row>
    <row r="2" spans="1:11" x14ac:dyDescent="0.25">
      <c r="A2" s="19" t="s">
        <v>299</v>
      </c>
      <c r="B2" s="18"/>
      <c r="C2" s="18"/>
      <c r="D2" s="18"/>
      <c r="E2" s="18"/>
      <c r="F2" s="18"/>
      <c r="G2" s="18"/>
      <c r="H2" s="18"/>
      <c r="I2" s="18"/>
      <c r="J2" s="18"/>
      <c r="K2" s="18"/>
    </row>
    <row r="3" spans="1:11" ht="30" customHeight="1" x14ac:dyDescent="0.25">
      <c r="A3" s="1" t="s">
        <v>237</v>
      </c>
      <c r="B3" s="1" t="s">
        <v>238</v>
      </c>
      <c r="C3" s="1" t="s">
        <v>239</v>
      </c>
      <c r="D3" s="1" t="s">
        <v>240</v>
      </c>
      <c r="E3" s="1" t="s">
        <v>241</v>
      </c>
      <c r="F3" s="1" t="s">
        <v>242</v>
      </c>
      <c r="G3" s="1" t="s">
        <v>243</v>
      </c>
      <c r="H3" s="1" t="s">
        <v>244</v>
      </c>
      <c r="I3" s="1" t="s">
        <v>245</v>
      </c>
      <c r="J3" s="1" t="s">
        <v>246</v>
      </c>
      <c r="K3" s="1" t="s">
        <v>247</v>
      </c>
    </row>
    <row r="4" spans="1:11" ht="45" customHeight="1" x14ac:dyDescent="0.25">
      <c r="A4" s="4" t="s">
        <v>248</v>
      </c>
      <c r="B4" s="4" t="s">
        <v>249</v>
      </c>
      <c r="C4" s="4">
        <v>42</v>
      </c>
      <c r="D4" s="4">
        <v>45</v>
      </c>
      <c r="E4" s="4">
        <f t="shared" ref="E4:E10" si="0">D4-C4</f>
        <v>3</v>
      </c>
      <c r="F4" s="4">
        <v>3</v>
      </c>
      <c r="G4" s="4">
        <v>0</v>
      </c>
      <c r="H4" s="4">
        <f t="shared" ref="H4:H10" si="1">F4-G4</f>
        <v>3</v>
      </c>
      <c r="I4" s="4">
        <f>H4*18500</f>
        <v>55500</v>
      </c>
      <c r="J4" s="4" t="s">
        <v>250</v>
      </c>
      <c r="K4" s="4" t="s">
        <v>300</v>
      </c>
    </row>
    <row r="5" spans="1:11" ht="45" customHeight="1" x14ac:dyDescent="0.25">
      <c r="A5" s="3" t="s">
        <v>248</v>
      </c>
      <c r="B5" s="3" t="s">
        <v>37</v>
      </c>
      <c r="C5" s="3">
        <v>18</v>
      </c>
      <c r="D5" s="3">
        <v>18</v>
      </c>
      <c r="E5" s="3">
        <f t="shared" si="0"/>
        <v>0</v>
      </c>
      <c r="F5" s="3">
        <v>0</v>
      </c>
      <c r="G5" s="3">
        <v>0</v>
      </c>
      <c r="H5" s="3">
        <f t="shared" si="1"/>
        <v>0</v>
      </c>
      <c r="I5" s="3">
        <v>0</v>
      </c>
      <c r="J5" s="3" t="s">
        <v>250</v>
      </c>
      <c r="K5" s="3" t="s">
        <v>251</v>
      </c>
    </row>
    <row r="6" spans="1:11" ht="45" customHeight="1" x14ac:dyDescent="0.25">
      <c r="A6" s="5" t="s">
        <v>248</v>
      </c>
      <c r="B6" s="5" t="s">
        <v>252</v>
      </c>
      <c r="C6" s="5">
        <v>8</v>
      </c>
      <c r="D6" s="5">
        <v>7</v>
      </c>
      <c r="E6" s="5">
        <f t="shared" si="0"/>
        <v>-1</v>
      </c>
      <c r="F6" s="5">
        <v>0</v>
      </c>
      <c r="G6" s="5">
        <v>1</v>
      </c>
      <c r="H6" s="5">
        <f t="shared" si="1"/>
        <v>-1</v>
      </c>
      <c r="I6" s="5">
        <f>H6*12000</f>
        <v>-12000</v>
      </c>
      <c r="J6" s="5" t="s">
        <v>250</v>
      </c>
      <c r="K6" s="5" t="s">
        <v>301</v>
      </c>
    </row>
    <row r="7" spans="1:11" ht="45" customHeight="1" x14ac:dyDescent="0.25">
      <c r="A7" s="3" t="s">
        <v>248</v>
      </c>
      <c r="B7" s="3" t="s">
        <v>25</v>
      </c>
      <c r="C7" s="3">
        <v>12</v>
      </c>
      <c r="D7" s="3">
        <v>12</v>
      </c>
      <c r="E7" s="3">
        <f t="shared" si="0"/>
        <v>0</v>
      </c>
      <c r="F7" s="3">
        <v>0</v>
      </c>
      <c r="G7" s="3">
        <v>0</v>
      </c>
      <c r="H7" s="3">
        <f t="shared" si="1"/>
        <v>0</v>
      </c>
      <c r="I7" s="3">
        <v>0</v>
      </c>
      <c r="J7" s="3" t="s">
        <v>250</v>
      </c>
      <c r="K7" s="3" t="s">
        <v>251</v>
      </c>
    </row>
    <row r="8" spans="1:11" ht="45" customHeight="1" x14ac:dyDescent="0.25">
      <c r="A8" s="2" t="s">
        <v>248</v>
      </c>
      <c r="B8" s="2" t="s">
        <v>253</v>
      </c>
      <c r="C8" s="2">
        <v>15</v>
      </c>
      <c r="D8" s="2">
        <v>15</v>
      </c>
      <c r="E8" s="2">
        <f t="shared" si="0"/>
        <v>0</v>
      </c>
      <c r="F8" s="2">
        <v>0</v>
      </c>
      <c r="G8" s="2">
        <v>0</v>
      </c>
      <c r="H8" s="2">
        <f t="shared" si="1"/>
        <v>0</v>
      </c>
      <c r="I8" s="2">
        <v>0</v>
      </c>
      <c r="J8" s="2" t="s">
        <v>250</v>
      </c>
      <c r="K8" s="2" t="s">
        <v>251</v>
      </c>
    </row>
    <row r="9" spans="1:11" ht="45" customHeight="1" x14ac:dyDescent="0.25">
      <c r="A9" s="3" t="s">
        <v>248</v>
      </c>
      <c r="B9" s="3" t="s">
        <v>254</v>
      </c>
      <c r="C9" s="3">
        <v>4</v>
      </c>
      <c r="D9" s="3">
        <v>4</v>
      </c>
      <c r="E9" s="3">
        <f t="shared" si="0"/>
        <v>0</v>
      </c>
      <c r="F9" s="3">
        <v>0</v>
      </c>
      <c r="G9" s="3">
        <v>0</v>
      </c>
      <c r="H9" s="3">
        <f t="shared" si="1"/>
        <v>0</v>
      </c>
      <c r="I9" s="3">
        <v>0</v>
      </c>
      <c r="J9" s="3" t="s">
        <v>250</v>
      </c>
      <c r="K9" s="3" t="s">
        <v>251</v>
      </c>
    </row>
    <row r="10" spans="1:11" ht="45" customHeight="1" x14ac:dyDescent="0.25">
      <c r="A10" s="9" t="s">
        <v>248</v>
      </c>
      <c r="B10" s="9" t="s">
        <v>255</v>
      </c>
      <c r="C10" s="9">
        <v>99</v>
      </c>
      <c r="D10" s="9">
        <v>101</v>
      </c>
      <c r="E10" s="9">
        <f t="shared" si="0"/>
        <v>2</v>
      </c>
      <c r="F10" s="9">
        <f>SUM(F4:F9)</f>
        <v>3</v>
      </c>
      <c r="G10" s="9">
        <f>SUM(G4:G9)</f>
        <v>1</v>
      </c>
      <c r="H10" s="9">
        <f t="shared" si="1"/>
        <v>2</v>
      </c>
      <c r="I10" s="9">
        <f>SUMIF(J4:J9,"CHF",I4:I9)</f>
        <v>43500</v>
      </c>
      <c r="J10" s="9" t="s">
        <v>250</v>
      </c>
      <c r="K10" s="9" t="s">
        <v>256</v>
      </c>
    </row>
    <row r="12" spans="1:11" ht="45" customHeight="1" x14ac:dyDescent="0.25">
      <c r="A12" s="4" t="s">
        <v>257</v>
      </c>
      <c r="B12" s="4" t="s">
        <v>249</v>
      </c>
      <c r="C12" s="4">
        <v>38</v>
      </c>
      <c r="D12" s="4">
        <v>41</v>
      </c>
      <c r="E12" s="4">
        <f t="shared" ref="E12:E18" si="2">D12-C12</f>
        <v>3</v>
      </c>
      <c r="F12" s="4">
        <v>5</v>
      </c>
      <c r="G12" s="4">
        <v>2</v>
      </c>
      <c r="H12" s="4">
        <f t="shared" ref="H12:H18" si="3">F12-G12</f>
        <v>3</v>
      </c>
      <c r="I12" s="4">
        <f>H12*16200</f>
        <v>48600</v>
      </c>
      <c r="J12" s="4" t="s">
        <v>258</v>
      </c>
      <c r="K12" s="4" t="s">
        <v>302</v>
      </c>
    </row>
    <row r="13" spans="1:11" ht="45" customHeight="1" x14ac:dyDescent="0.25">
      <c r="A13" s="4" t="s">
        <v>257</v>
      </c>
      <c r="B13" s="4" t="s">
        <v>37</v>
      </c>
      <c r="C13" s="4">
        <v>22</v>
      </c>
      <c r="D13" s="4">
        <v>19</v>
      </c>
      <c r="E13" s="4">
        <f t="shared" si="2"/>
        <v>-3</v>
      </c>
      <c r="F13" s="4">
        <v>0</v>
      </c>
      <c r="G13" s="4">
        <v>3</v>
      </c>
      <c r="H13" s="4">
        <f t="shared" si="3"/>
        <v>-3</v>
      </c>
      <c r="I13" s="4">
        <f>H13*(-14800)</f>
        <v>44400</v>
      </c>
      <c r="J13" s="4" t="s">
        <v>258</v>
      </c>
      <c r="K13" s="4" t="s">
        <v>303</v>
      </c>
    </row>
    <row r="14" spans="1:11" ht="45" customHeight="1" x14ac:dyDescent="0.25">
      <c r="A14" s="2" t="s">
        <v>257</v>
      </c>
      <c r="B14" s="2" t="s">
        <v>252</v>
      </c>
      <c r="C14" s="2">
        <v>9</v>
      </c>
      <c r="D14" s="2">
        <v>9</v>
      </c>
      <c r="E14" s="2">
        <f t="shared" si="2"/>
        <v>0</v>
      </c>
      <c r="F14" s="2">
        <v>0</v>
      </c>
      <c r="G14" s="2">
        <v>0</v>
      </c>
      <c r="H14" s="2">
        <f t="shared" si="3"/>
        <v>0</v>
      </c>
      <c r="I14" s="2">
        <v>0</v>
      </c>
      <c r="J14" s="2" t="s">
        <v>258</v>
      </c>
      <c r="K14" s="2" t="s">
        <v>251</v>
      </c>
    </row>
    <row r="15" spans="1:11" ht="45" customHeight="1" x14ac:dyDescent="0.25">
      <c r="A15" s="4" t="s">
        <v>257</v>
      </c>
      <c r="B15" s="4" t="s">
        <v>25</v>
      </c>
      <c r="C15" s="4">
        <v>8</v>
      </c>
      <c r="D15" s="4">
        <v>10</v>
      </c>
      <c r="E15" s="4">
        <f t="shared" si="2"/>
        <v>2</v>
      </c>
      <c r="F15" s="4">
        <v>2</v>
      </c>
      <c r="G15" s="4">
        <v>0</v>
      </c>
      <c r="H15" s="4">
        <f t="shared" si="3"/>
        <v>2</v>
      </c>
      <c r="I15" s="4">
        <f>H15*13400</f>
        <v>26800</v>
      </c>
      <c r="J15" s="4" t="s">
        <v>258</v>
      </c>
      <c r="K15" s="4" t="s">
        <v>304</v>
      </c>
    </row>
    <row r="16" spans="1:11" ht="45" customHeight="1" x14ac:dyDescent="0.25">
      <c r="A16" s="4" t="s">
        <v>257</v>
      </c>
      <c r="B16" s="4" t="s">
        <v>253</v>
      </c>
      <c r="C16" s="4">
        <v>24</v>
      </c>
      <c r="D16" s="4">
        <v>26</v>
      </c>
      <c r="E16" s="4">
        <f t="shared" si="2"/>
        <v>2</v>
      </c>
      <c r="F16" s="4">
        <v>4</v>
      </c>
      <c r="G16" s="4">
        <v>2</v>
      </c>
      <c r="H16" s="4">
        <f t="shared" si="3"/>
        <v>2</v>
      </c>
      <c r="I16" s="4">
        <f>H16*11200</f>
        <v>22400</v>
      </c>
      <c r="J16" s="4" t="s">
        <v>258</v>
      </c>
      <c r="K16" s="4" t="s">
        <v>305</v>
      </c>
    </row>
    <row r="17" spans="1:11" ht="45" customHeight="1" x14ac:dyDescent="0.25">
      <c r="A17" s="4" t="s">
        <v>257</v>
      </c>
      <c r="B17" s="4" t="s">
        <v>254</v>
      </c>
      <c r="C17" s="4">
        <v>3</v>
      </c>
      <c r="D17" s="4">
        <v>4</v>
      </c>
      <c r="E17" s="4">
        <f t="shared" si="2"/>
        <v>1</v>
      </c>
      <c r="F17" s="4">
        <v>1</v>
      </c>
      <c r="G17" s="4">
        <v>0</v>
      </c>
      <c r="H17" s="4">
        <f t="shared" si="3"/>
        <v>1</v>
      </c>
      <c r="I17" s="4">
        <f>H17*15600</f>
        <v>15600</v>
      </c>
      <c r="J17" s="4" t="s">
        <v>258</v>
      </c>
      <c r="K17" s="4" t="s">
        <v>306</v>
      </c>
    </row>
    <row r="18" spans="1:11" ht="45" customHeight="1" x14ac:dyDescent="0.25">
      <c r="A18" s="9" t="s">
        <v>257</v>
      </c>
      <c r="B18" s="9" t="s">
        <v>255</v>
      </c>
      <c r="C18" s="9">
        <v>104</v>
      </c>
      <c r="D18" s="9">
        <v>109</v>
      </c>
      <c r="E18" s="9">
        <f t="shared" si="2"/>
        <v>5</v>
      </c>
      <c r="F18" s="9">
        <f>SUM(F12:F17)</f>
        <v>12</v>
      </c>
      <c r="G18" s="9">
        <f>SUM(G12:G17)</f>
        <v>7</v>
      </c>
      <c r="H18" s="9">
        <f t="shared" si="3"/>
        <v>5</v>
      </c>
      <c r="I18" s="9">
        <f>SUMIF(J12:J17,"EUR",I12:I17)</f>
        <v>157800</v>
      </c>
      <c r="J18" s="9" t="s">
        <v>258</v>
      </c>
      <c r="K18" s="9" t="s">
        <v>259</v>
      </c>
    </row>
    <row r="20" spans="1:11" ht="45" customHeight="1" x14ac:dyDescent="0.25">
      <c r="A20" s="2" t="s">
        <v>260</v>
      </c>
      <c r="B20" s="2" t="s">
        <v>249</v>
      </c>
      <c r="C20" s="2">
        <v>19</v>
      </c>
      <c r="D20" s="2">
        <v>19</v>
      </c>
      <c r="E20" s="2">
        <f t="shared" ref="E20:E25" si="4">D20-C20</f>
        <v>0</v>
      </c>
      <c r="F20" s="2">
        <v>0</v>
      </c>
      <c r="G20" s="2">
        <v>0</v>
      </c>
      <c r="H20" s="2">
        <f>F20-G20</f>
        <v>0</v>
      </c>
      <c r="I20" s="2">
        <v>0</v>
      </c>
      <c r="J20" s="2" t="s">
        <v>258</v>
      </c>
      <c r="K20" s="2" t="s">
        <v>251</v>
      </c>
    </row>
    <row r="21" spans="1:11" ht="45" customHeight="1" x14ac:dyDescent="0.25">
      <c r="A21" s="3" t="s">
        <v>260</v>
      </c>
      <c r="B21" s="3" t="s">
        <v>37</v>
      </c>
      <c r="C21" s="3">
        <v>11</v>
      </c>
      <c r="D21" s="3">
        <v>11</v>
      </c>
      <c r="E21" s="3">
        <f t="shared" si="4"/>
        <v>0</v>
      </c>
      <c r="F21" s="3">
        <v>0</v>
      </c>
      <c r="G21" s="3">
        <v>0</v>
      </c>
      <c r="H21" s="3">
        <f>F21-G21</f>
        <v>0</v>
      </c>
      <c r="I21" s="3">
        <v>0</v>
      </c>
      <c r="J21" s="3" t="s">
        <v>258</v>
      </c>
      <c r="K21" s="3" t="s">
        <v>251</v>
      </c>
    </row>
    <row r="22" spans="1:11" ht="45" customHeight="1" x14ac:dyDescent="0.25">
      <c r="A22" s="2" t="s">
        <v>260</v>
      </c>
      <c r="B22" s="2" t="s">
        <v>252</v>
      </c>
      <c r="C22" s="2">
        <v>5</v>
      </c>
      <c r="D22" s="2">
        <v>5</v>
      </c>
      <c r="E22" s="2">
        <f t="shared" si="4"/>
        <v>0</v>
      </c>
      <c r="F22" s="2">
        <v>0</v>
      </c>
      <c r="G22" s="2">
        <v>0</v>
      </c>
      <c r="H22" s="2">
        <f>F22-G22</f>
        <v>0</v>
      </c>
      <c r="I22" s="2">
        <v>0</v>
      </c>
      <c r="J22" s="2" t="s">
        <v>258</v>
      </c>
      <c r="K22" s="2" t="s">
        <v>251</v>
      </c>
    </row>
    <row r="23" spans="1:11" ht="45" customHeight="1" x14ac:dyDescent="0.25">
      <c r="A23" s="3" t="s">
        <v>260</v>
      </c>
      <c r="B23" s="3" t="s">
        <v>25</v>
      </c>
      <c r="C23" s="3">
        <v>6</v>
      </c>
      <c r="D23" s="3">
        <v>6</v>
      </c>
      <c r="E23" s="3">
        <f t="shared" si="4"/>
        <v>0</v>
      </c>
      <c r="F23" s="3">
        <v>0</v>
      </c>
      <c r="G23" s="3">
        <v>0</v>
      </c>
      <c r="H23" s="3">
        <f>F23-G23</f>
        <v>0</v>
      </c>
      <c r="I23" s="3">
        <v>0</v>
      </c>
      <c r="J23" s="3" t="s">
        <v>258</v>
      </c>
      <c r="K23" s="3" t="s">
        <v>251</v>
      </c>
    </row>
    <row r="24" spans="1:11" ht="45" customHeight="1" x14ac:dyDescent="0.25">
      <c r="A24" s="2" t="s">
        <v>260</v>
      </c>
      <c r="B24" s="2" t="s">
        <v>253</v>
      </c>
      <c r="C24" s="2">
        <v>12</v>
      </c>
      <c r="D24" s="2">
        <v>12</v>
      </c>
      <c r="E24" s="2">
        <f t="shared" si="4"/>
        <v>0</v>
      </c>
      <c r="F24" s="2">
        <v>0</v>
      </c>
      <c r="G24" s="2">
        <v>0</v>
      </c>
      <c r="H24" s="2">
        <f>F24-G24</f>
        <v>0</v>
      </c>
      <c r="I24" s="2">
        <v>0</v>
      </c>
      <c r="J24" s="2" t="s">
        <v>258</v>
      </c>
      <c r="K24" s="2" t="s">
        <v>251</v>
      </c>
    </row>
    <row r="25" spans="1:11" ht="45" customHeight="1" x14ac:dyDescent="0.25">
      <c r="A25" s="9" t="s">
        <v>260</v>
      </c>
      <c r="B25" s="9" t="s">
        <v>255</v>
      </c>
      <c r="C25" s="9">
        <v>53</v>
      </c>
      <c r="D25" s="9">
        <v>53</v>
      </c>
      <c r="E25" s="9">
        <f t="shared" si="4"/>
        <v>0</v>
      </c>
      <c r="F25" s="9">
        <v>0</v>
      </c>
      <c r="G25" s="9">
        <v>0</v>
      </c>
      <c r="H25" s="9">
        <v>0</v>
      </c>
      <c r="I25" s="9">
        <v>0</v>
      </c>
      <c r="J25" s="9" t="s">
        <v>258</v>
      </c>
      <c r="K25" s="9" t="s">
        <v>261</v>
      </c>
    </row>
    <row r="27" spans="1:11" x14ac:dyDescent="0.25">
      <c r="A27" s="6" t="s">
        <v>262</v>
      </c>
      <c r="B27" s="7"/>
      <c r="C27" s="7"/>
      <c r="D27" s="7"/>
      <c r="E27" s="7"/>
      <c r="F27" s="7"/>
      <c r="G27" s="7"/>
      <c r="H27" s="7"/>
      <c r="I27" s="7"/>
      <c r="J27" s="7"/>
      <c r="K27" s="7"/>
    </row>
    <row r="28" spans="1:11" x14ac:dyDescent="0.25">
      <c r="A28" s="6" t="s">
        <v>263</v>
      </c>
      <c r="B28" s="7">
        <v>256</v>
      </c>
      <c r="C28" s="7"/>
      <c r="D28" s="7"/>
      <c r="E28" s="7"/>
      <c r="F28" s="7"/>
      <c r="G28" s="7"/>
      <c r="H28" s="7"/>
      <c r="I28" s="7"/>
      <c r="J28" s="7"/>
      <c r="K28" s="7"/>
    </row>
    <row r="29" spans="1:11" x14ac:dyDescent="0.25">
      <c r="A29" s="6" t="s">
        <v>264</v>
      </c>
      <c r="B29" s="7">
        <v>263</v>
      </c>
      <c r="C29" s="7"/>
      <c r="D29" s="7"/>
      <c r="E29" s="7"/>
      <c r="F29" s="7"/>
      <c r="G29" s="7"/>
      <c r="H29" s="7"/>
      <c r="I29" s="7"/>
      <c r="J29" s="7"/>
      <c r="K29" s="7"/>
    </row>
    <row r="30" spans="1:11" x14ac:dyDescent="0.25">
      <c r="A30" s="6" t="s">
        <v>265</v>
      </c>
      <c r="B30" s="7">
        <v>7</v>
      </c>
      <c r="C30" s="7"/>
      <c r="D30" s="7"/>
      <c r="E30" s="7"/>
      <c r="F30" s="7"/>
      <c r="G30" s="7"/>
      <c r="H30" s="7"/>
      <c r="I30" s="7"/>
      <c r="J30" s="7"/>
      <c r="K30" s="7"/>
    </row>
    <row r="31" spans="1:11" x14ac:dyDescent="0.25">
      <c r="A31" s="6" t="s">
        <v>266</v>
      </c>
      <c r="B31" s="7">
        <v>7</v>
      </c>
      <c r="C31" s="7"/>
      <c r="D31" s="7"/>
      <c r="E31" s="7"/>
      <c r="F31" s="7"/>
      <c r="G31" s="7"/>
      <c r="H31" s="7"/>
      <c r="I31" s="7"/>
      <c r="J31" s="7"/>
      <c r="K31" s="7"/>
    </row>
    <row r="32" spans="1:11" ht="69.95" customHeight="1" x14ac:dyDescent="0.25">
      <c r="A32" s="6" t="s">
        <v>68</v>
      </c>
      <c r="B32" s="8" t="s">
        <v>307</v>
      </c>
      <c r="C32" s="7"/>
      <c r="D32" s="7"/>
      <c r="E32" s="7"/>
      <c r="F32" s="7"/>
      <c r="G32" s="7"/>
      <c r="H32" s="7"/>
      <c r="I32" s="7"/>
      <c r="J32" s="7"/>
      <c r="K32" s="7"/>
    </row>
    <row r="33" spans="1:1" x14ac:dyDescent="0.25">
      <c r="A33" s="16" t="s">
        <v>310</v>
      </c>
    </row>
  </sheetData>
  <mergeCells count="2">
    <mergeCell ref="A2:K2"/>
    <mergeCell ref="A1:K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Suggested Accruals</vt:lpstr>
      <vt:lpstr>Variance Root Cause</vt:lpstr>
      <vt:lpstr>Missing Account Checks</vt:lpstr>
      <vt:lpstr>Narrative Consistency Check</vt:lpstr>
      <vt:lpstr>Headcount Exception Detection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Suhasini Ganapathy</cp:lastModifiedBy>
  <dcterms:created xsi:type="dcterms:W3CDTF">2026-06-01T13:55:29Z</dcterms:created>
  <dcterms:modified xsi:type="dcterms:W3CDTF">2026-06-02T21:28:13Z</dcterms:modified>
</cp:coreProperties>
</file>